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oft_\gb_rep\15-11-22\"/>
    </mc:Choice>
  </mc:AlternateContent>
  <bookViews>
    <workbookView xWindow="0" yWindow="0" windowWidth="28800" windowHeight="12885"/>
    <workbookView xWindow="0" yWindow="0" windowWidth="20490" windowHeight="8340"/>
  </bookViews>
  <sheets>
    <sheet name="SideNote" sheetId="1" r:id="rId1"/>
    <sheet name="lib" sheetId="2" r:id="rId2"/>
    <sheet name="base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J3" i="3"/>
  <c r="J4" i="3"/>
  <c r="J5" i="3"/>
  <c r="J6" i="3"/>
  <c r="K6" i="3" s="1"/>
  <c r="J7" i="3"/>
  <c r="J8" i="3"/>
  <c r="K8" i="3" s="1"/>
  <c r="J9" i="3"/>
  <c r="J10" i="3"/>
  <c r="K10" i="3" s="1"/>
  <c r="J11" i="3"/>
  <c r="J12" i="3"/>
  <c r="J13" i="3"/>
  <c r="J14" i="3"/>
  <c r="K14" i="3" s="1"/>
  <c r="J15" i="3"/>
  <c r="J16" i="3"/>
  <c r="K16" i="3" s="1"/>
  <c r="J17" i="3"/>
  <c r="J18" i="3"/>
  <c r="K18" i="3" s="1"/>
  <c r="J19" i="3"/>
  <c r="K19" i="3" s="1"/>
  <c r="J20" i="3"/>
  <c r="K20" i="3" s="1"/>
  <c r="K3" i="3"/>
  <c r="K4" i="3"/>
  <c r="K5" i="3"/>
  <c r="K7" i="3"/>
  <c r="K9" i="3"/>
  <c r="K11" i="3"/>
  <c r="K12" i="3"/>
  <c r="K13" i="3"/>
  <c r="K15" i="3"/>
  <c r="K1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T38" i="2"/>
  <c r="T37" i="2"/>
  <c r="T36" i="2"/>
  <c r="T35" i="2"/>
  <c r="T34" i="2"/>
  <c r="T33" i="2"/>
  <c r="T32" i="2"/>
  <c r="T31" i="2"/>
  <c r="T30" i="2"/>
  <c r="T29" i="2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D20" i="3"/>
  <c r="C20" i="3" s="1"/>
  <c r="D19" i="3"/>
  <c r="C19" i="3" s="1"/>
  <c r="D18" i="3"/>
  <c r="C18" i="3" s="1"/>
  <c r="D17" i="3"/>
  <c r="C17" i="3" s="1"/>
  <c r="D16" i="3"/>
  <c r="C16" i="3" s="1"/>
  <c r="D15" i="3"/>
  <c r="C15" i="3" s="1"/>
  <c r="D14" i="3"/>
  <c r="C14" i="3" s="1"/>
  <c r="D13" i="3"/>
  <c r="C13" i="3" s="1"/>
  <c r="D12" i="3"/>
  <c r="C12" i="3" s="1"/>
  <c r="D11" i="3"/>
  <c r="C11" i="3" s="1"/>
  <c r="D10" i="3"/>
  <c r="C10" i="3" s="1"/>
  <c r="D9" i="3"/>
  <c r="C9" i="3" s="1"/>
  <c r="D8" i="3"/>
  <c r="C8" i="3" s="1"/>
  <c r="D7" i="3"/>
  <c r="C7" i="3" s="1"/>
  <c r="D6" i="3"/>
  <c r="C6" i="3" s="1"/>
  <c r="D5" i="3"/>
  <c r="C5" i="3" s="1"/>
  <c r="D4" i="3"/>
  <c r="C4" i="3" s="1"/>
  <c r="D3" i="3"/>
  <c r="C3" i="3" s="1"/>
  <c r="T5" i="2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4" i="2"/>
  <c r="Q22" i="2"/>
  <c r="Q21" i="2"/>
  <c r="Q13" i="2"/>
  <c r="Q12" i="2"/>
  <c r="Q7" i="2"/>
  <c r="Q8" i="2" s="1"/>
  <c r="Q5" i="2"/>
  <c r="Q6" i="2" s="1"/>
  <c r="Q4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N5" i="2"/>
  <c r="N6" i="2" s="1"/>
  <c r="N7" i="2" s="1"/>
  <c r="N4" i="2"/>
  <c r="K5" i="2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4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B19" i="2"/>
  <c r="B20" i="2" s="1"/>
  <c r="B21" i="2" s="1"/>
  <c r="B22" i="2" s="1"/>
  <c r="B23" i="2" s="1"/>
  <c r="B24" i="2" s="1"/>
  <c r="B9" i="2"/>
  <c r="B10" i="2" s="1"/>
  <c r="B11" i="2" s="1"/>
  <c r="B12" i="2" s="1"/>
  <c r="B13" i="2" s="1"/>
  <c r="B14" i="2" s="1"/>
  <c r="B15" i="2" s="1"/>
  <c r="H10" i="3" l="1"/>
  <c r="H6" i="3"/>
  <c r="H18" i="3"/>
  <c r="H14" i="3"/>
  <c r="H17" i="3"/>
  <c r="H13" i="3"/>
  <c r="H9" i="3"/>
  <c r="H5" i="3"/>
  <c r="H20" i="3"/>
  <c r="H16" i="3"/>
  <c r="H12" i="3"/>
  <c r="H8" i="3"/>
  <c r="H4" i="3"/>
  <c r="H19" i="3"/>
  <c r="H15" i="3"/>
  <c r="H11" i="3"/>
  <c r="H7" i="3"/>
  <c r="H3" i="3"/>
</calcChain>
</file>

<file path=xl/sharedStrings.xml><?xml version="1.0" encoding="utf-8"?>
<sst xmlns="http://schemas.openxmlformats.org/spreadsheetml/2006/main" count="269" uniqueCount="180">
  <si>
    <t>Транспорт</t>
  </si>
  <si>
    <t>Примечание</t>
  </si>
  <si>
    <t>Тип транспорта</t>
  </si>
  <si>
    <t>Поле</t>
  </si>
  <si>
    <t>Производитель</t>
  </si>
  <si>
    <t>Год производства</t>
  </si>
  <si>
    <t>Проверка ввода; числовое</t>
  </si>
  <si>
    <t>Цвет</t>
  </si>
  <si>
    <t>VIN-код(двигатель)</t>
  </si>
  <si>
    <t>Строка, внутренне уникальная</t>
  </si>
  <si>
    <t>VIN-код(кузов)</t>
  </si>
  <si>
    <t>Топливо</t>
  </si>
  <si>
    <t>Тип собственности</t>
  </si>
  <si>
    <t>Балансовая стоимость</t>
  </si>
  <si>
    <t>ГосНомер</t>
  </si>
  <si>
    <t>Маршрут</t>
  </si>
  <si>
    <t>Номер</t>
  </si>
  <si>
    <t>Тип</t>
  </si>
  <si>
    <t>Штат</t>
  </si>
  <si>
    <t>Столбец2</t>
  </si>
  <si>
    <t>ФИО</t>
  </si>
  <si>
    <t>Пол</t>
  </si>
  <si>
    <t>Дата</t>
  </si>
  <si>
    <t>Дата Рождения</t>
  </si>
  <si>
    <t>Должность</t>
  </si>
  <si>
    <t>Стаж на последней занимаемой должности</t>
  </si>
  <si>
    <t>Образование</t>
  </si>
  <si>
    <t>Подразделение</t>
  </si>
  <si>
    <t>График</t>
  </si>
  <si>
    <t>Тип графика</t>
  </si>
  <si>
    <t>Смена</t>
  </si>
  <si>
    <t>Оклад</t>
  </si>
  <si>
    <t>Диаметр автопокрышек</t>
  </si>
  <si>
    <t>Оклады</t>
  </si>
  <si>
    <t>Тип оклада</t>
  </si>
  <si>
    <t>Штатное расписание</t>
  </si>
  <si>
    <t>Типы транспорта</t>
  </si>
  <si>
    <t>сумма оклада</t>
  </si>
  <si>
    <t>Должность, наименование</t>
  </si>
  <si>
    <t>Специальное</t>
  </si>
  <si>
    <t>Троллейбус</t>
  </si>
  <si>
    <t>Автобус</t>
  </si>
  <si>
    <t>Маршрутное такси</t>
  </si>
  <si>
    <t>Производители</t>
  </si>
  <si>
    <t>ANKAI</t>
  </si>
  <si>
    <t>AYATS</t>
  </si>
  <si>
    <t>BAW</t>
  </si>
  <si>
    <t>DAEWOO</t>
  </si>
  <si>
    <t>FOTON</t>
  </si>
  <si>
    <t>GOLDEN DRAGON</t>
  </si>
  <si>
    <t>HIGER</t>
  </si>
  <si>
    <t>HYUNDAI</t>
  </si>
  <si>
    <t>Цвета</t>
  </si>
  <si>
    <t>Красный</t>
  </si>
  <si>
    <t>Оранжевый</t>
  </si>
  <si>
    <t>Желтый</t>
  </si>
  <si>
    <t>Зеленый</t>
  </si>
  <si>
    <t>Голубой</t>
  </si>
  <si>
    <t>Синий</t>
  </si>
  <si>
    <t>Фиолетовый</t>
  </si>
  <si>
    <t>+</t>
  </si>
  <si>
    <t>Типы Топлива</t>
  </si>
  <si>
    <t>Код</t>
  </si>
  <si>
    <t>Газ</t>
  </si>
  <si>
    <t>Электричество</t>
  </si>
  <si>
    <t>Дизтопливо</t>
  </si>
  <si>
    <t>Шины</t>
  </si>
  <si>
    <t>275/70R22.5</t>
  </si>
  <si>
    <t>215/75R17,5</t>
  </si>
  <si>
    <t>205/75R17,5</t>
  </si>
  <si>
    <t>235/75R17,5</t>
  </si>
  <si>
    <t>295/80R22,5</t>
  </si>
  <si>
    <t>Типы собственности</t>
  </si>
  <si>
    <t>Проприетарная</t>
  </si>
  <si>
    <t>Аренда</t>
  </si>
  <si>
    <t>Лизинг</t>
  </si>
  <si>
    <t>Остановки</t>
  </si>
  <si>
    <t/>
  </si>
  <si>
    <t>Армянская улица</t>
  </si>
  <si>
    <t>Киевская</t>
  </si>
  <si>
    <t>улица Василия Александри</t>
  </si>
  <si>
    <t>улица Георге Асаки</t>
  </si>
  <si>
    <t>улица Григоре Александреску</t>
  </si>
  <si>
    <t>улица Данте Алигьери</t>
  </si>
  <si>
    <t>улица Иона Алдя-Теодоровичей</t>
  </si>
  <si>
    <t>улица Н. Анестиаде</t>
  </si>
  <si>
    <t>улица святого Андрея</t>
  </si>
  <si>
    <t>улица Четатя Албэ</t>
  </si>
  <si>
    <t>улица 31 Августа 1989 года</t>
  </si>
  <si>
    <t>улица Авиценна</t>
  </si>
  <si>
    <t>улица Академией</t>
  </si>
  <si>
    <t xml:space="preserve">улица Алба-Юлия </t>
  </si>
  <si>
    <t>улица Албишоара</t>
  </si>
  <si>
    <t>улица Арборилор</t>
  </si>
  <si>
    <t>маршала Пьетро Бадольо</t>
  </si>
  <si>
    <t>Тип маршрута</t>
  </si>
  <si>
    <t>Город</t>
  </si>
  <si>
    <t>Пригород</t>
  </si>
  <si>
    <t>Комбинированный</t>
  </si>
  <si>
    <t>Муж</t>
  </si>
  <si>
    <t>Жен</t>
  </si>
  <si>
    <t>Строка</t>
  </si>
  <si>
    <t>Администратор</t>
  </si>
  <si>
    <t>Бухгалтер</t>
  </si>
  <si>
    <t>Помощник бухгалтера</t>
  </si>
  <si>
    <t>Менеджер по персоналу</t>
  </si>
  <si>
    <t>Офис-менеджер</t>
  </si>
  <si>
    <t>Механик, первый разряд</t>
  </si>
  <si>
    <t>Механик, второй разряд</t>
  </si>
  <si>
    <t>Контролёр</t>
  </si>
  <si>
    <t>Кондуктор</t>
  </si>
  <si>
    <t>Ревизор</t>
  </si>
  <si>
    <t>Курьер</t>
  </si>
  <si>
    <t>Водитель автобуса</t>
  </si>
  <si>
    <t>Водитель троллейбуса</t>
  </si>
  <si>
    <t>Водитель, стажер</t>
  </si>
  <si>
    <t>Помощник механика</t>
  </si>
  <si>
    <t>Шеф-повар</t>
  </si>
  <si>
    <t>Помощник повара</t>
  </si>
  <si>
    <t>Тип образование</t>
  </si>
  <si>
    <t>Среднее</t>
  </si>
  <si>
    <t>Среднее специальное</t>
  </si>
  <si>
    <t>Незаконченное высшее</t>
  </si>
  <si>
    <t>Высшее</t>
  </si>
  <si>
    <t>Мастерат</t>
  </si>
  <si>
    <t>Докторат</t>
  </si>
  <si>
    <t>Подразделения</t>
  </si>
  <si>
    <t>Администрация</t>
  </si>
  <si>
    <t>Отдел кадров</t>
  </si>
  <si>
    <t>Бухгалтерия</t>
  </si>
  <si>
    <t>Ремонтный отдел</t>
  </si>
  <si>
    <t>Инженер ОТТБ</t>
  </si>
  <si>
    <t>Штат маршрута</t>
  </si>
  <si>
    <t>Типы графика</t>
  </si>
  <si>
    <t>5-дневка</t>
  </si>
  <si>
    <t>6-дневка</t>
  </si>
  <si>
    <t>5-дневка неполная</t>
  </si>
  <si>
    <t>6-дневка неполная</t>
  </si>
  <si>
    <t>2/2</t>
  </si>
  <si>
    <t>1/3</t>
  </si>
  <si>
    <t>Типы смен</t>
  </si>
  <si>
    <t>I</t>
  </si>
  <si>
    <t>I(5am-11am)</t>
  </si>
  <si>
    <t>III(5pm-11pm)</t>
  </si>
  <si>
    <t>II(11am-5pm)</t>
  </si>
  <si>
    <t>Фиксированный</t>
  </si>
  <si>
    <t>Сдельно-прогрессивный</t>
  </si>
  <si>
    <t>Проездные места</t>
  </si>
  <si>
    <t>Количество</t>
  </si>
  <si>
    <t>Тип проездного места</t>
  </si>
  <si>
    <t>Кресло</t>
  </si>
  <si>
    <t>На ногах</t>
  </si>
  <si>
    <t>Диаметр автопокрышки</t>
  </si>
  <si>
    <t>A</t>
  </si>
  <si>
    <t>B</t>
  </si>
  <si>
    <t>C</t>
  </si>
  <si>
    <t>D</t>
  </si>
  <si>
    <t>E</t>
  </si>
  <si>
    <t>F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</si>
  <si>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</si>
  <si>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</si>
  <si>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</si>
  <si>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</si>
  <si>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</si>
  <si>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</si>
  <si>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</si>
  <si>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</si>
  <si>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</si>
  <si>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</si>
  <si>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</si>
  <si>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</si>
  <si>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</si>
  <si>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</si>
  <si>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</si>
  <si>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</si>
  <si>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</si>
  <si>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</si>
  <si>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</si>
  <si>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id</t>
  </si>
  <si>
    <t>символы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</si>
</sst>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/>
    <xf numFmtId="0" fontId="1" fillId="2" borderId="0" xfId="0" applyFont="1" applyFill="1"/>
    <xf numFmtId="0" fontId="1" fillId="0" borderId="0" xfId="0" applyFont="1"/>
    <xf numFmtId="0" fontId="1" fillId="0" borderId="1" xfId="0" applyFont="1" applyBorder="1"/>
    <xf numFmtId="16" fontId="0" fillId="0" borderId="0" xfId="0" quotePrefix="1" applyNumberFormat="1"/>
    <xf numFmtId="0" fontId="0" fillId="0" borderId="0" xfId="0" quotePrefix="1"/>
  </cellXfs>
  <cellStyles count="1">
    <cellStyle name="Обычный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249977111117893"/>
        <name val="Calibri"/>
        <scheme val="minor"/>
      </font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B2:C13" totalsRowShown="0">
  <autoFilter ref="B2:C13"/>
  <tableColumns count="2">
    <tableColumn id="1" name="Транспорт"/>
    <tableColumn id="2" name="Примечание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B15:C17" totalsRowShown="0" headerRowDxfId="12">
  <autoFilter ref="B15:C17"/>
  <tableColumns count="2">
    <tableColumn id="1" name="Маршрут"/>
    <tableColumn id="2" name="Примечание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B19:C27" totalsRowShown="0">
  <autoFilter ref="B19:C27"/>
  <tableColumns count="2">
    <tableColumn id="1" name="Штат"/>
    <tableColumn id="2" name="Столбец2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B29:C31" totalsRowShown="0">
  <autoFilter ref="B29:C31"/>
  <tableColumns count="2">
    <tableColumn id="1" name="График"/>
    <tableColumn id="2" name="Примечание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B33:C34" totalsRowShown="0">
  <autoFilter ref="B33:C34"/>
  <tableColumns count="2">
    <tableColumn id="1" name="Оклады"/>
    <tableColumn id="2" name="Примечание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id="6" name="Таблица6" displayName="Таблица6" ref="B36:C37" totalsRowShown="0">
  <autoFilter ref="B36:C37"/>
  <tableColumns count="2">
    <tableColumn id="1" name="Штатное расписание"/>
    <tableColumn id="2" name="Примечание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id="7" name="Таблица7" displayName="Таблица7" ref="B39:C41" totalsRowShown="0">
  <autoFilter ref="B39:C41"/>
  <tableColumns count="2">
    <tableColumn id="1" name="Проездные места"/>
    <tableColumn id="2" name="Примечание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id="8" name="Таблица8" displayName="Таблица8" ref="B2:C5" totalsRowShown="0">
  <autoFilter ref="B2:C5"/>
  <tableColumns count="2">
    <tableColumn id="2" name="Код"/>
    <tableColumn id="1" name="Типы транспорта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id="9" name="manuf" displayName="manuf" ref="B7:C15" totalsRowShown="0">
  <autoFilter ref="B7:C15"/>
  <tableColumns count="2">
    <tableColumn id="2" name="Код">
      <calculatedColumnFormula>B7+1</calculatedColumnFormula>
    </tableColumn>
    <tableColumn id="1" name="Производители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id="10" name="Таблица10" displayName="Таблица10" ref="B17:C24" totalsRowShown="0">
  <autoFilter ref="B17:C24"/>
  <tableColumns count="2">
    <tableColumn id="2" name="Код">
      <calculatedColumnFormula>B17+1</calculatedColumnFormula>
    </tableColumn>
    <tableColumn id="1" name="Цвета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id="11" name="Таблица11" displayName="Таблица11" ref="B26:C29" totalsRowShown="0">
  <autoFilter ref="B26:C29"/>
  <tableColumns count="2">
    <tableColumn id="1" name="Код"/>
    <tableColumn id="2" name="Типы Топлива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id="12" name="Таблица12" displayName="Таблица12" ref="B31:C36" totalsRowShown="0">
  <autoFilter ref="B31:C36"/>
  <tableColumns count="2">
    <tableColumn id="1" name="Код"/>
    <tableColumn id="2" name="Шины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38:C41" totalsRowShown="0">
  <autoFilter ref="B38:C41"/>
  <tableColumns count="2">
    <tableColumn id="1" name="Код"/>
    <tableColumn id="2" name="Типы собственности"/>
  </tableColumns>
  <tableStyleInfo name="TableStyleLight3" showFirstColumn="0" showLastColumn="0" showRowStripes="1" showColumnStripes="0"/>
</table>
</file>

<file path=xl/tables/table14.xml><?xml version="1.0" encoding="utf-8"?>
<table xmlns="http://schemas.openxmlformats.org/spreadsheetml/2006/main" id="14" name="Таблица14" displayName="Таблица14" ref="H2:I19" totalsRowShown="0">
  <autoFilter ref="H2:I19"/>
  <tableColumns count="2">
    <tableColumn id="1" name="Код"/>
    <tableColumn id="2" name="Остановки"/>
  </tableColumns>
  <tableStyleInfo name="TableStyleLight3" showFirstColumn="0" showLastColumn="0" showRowStripes="1" showColumnStripes="0"/>
</table>
</file>

<file path=xl/tables/table15.xml><?xml version="1.0" encoding="utf-8"?>
<table xmlns="http://schemas.openxmlformats.org/spreadsheetml/2006/main" id="15" name="Таблица15" displayName="Таблица15" ref="E2:F21" totalsRowShown="0">
  <autoFilter ref="E2:F21"/>
  <tableColumns count="2">
    <tableColumn id="1" name="Код"/>
    <tableColumn id="2" name="Маршрут">
      <calculatedColumnFormula>RANDBETWEEN(0,5)&amp;", "&amp;RANDBETWEEN(6,10)&amp;", "&amp;RANDBETWEEN(11,15)&amp;", "&amp;RANDBETWEEN(16,17)</calculatedColumnFormula>
    </tableColumn>
  </tableColumns>
  <tableStyleInfo name="TableStyleLight3" showFirstColumn="0" showLastColumn="0" showRowStripes="1" showColumnStripes="0"/>
</table>
</file>

<file path=xl/tables/table16.xml><?xml version="1.0" encoding="utf-8"?>
<table xmlns="http://schemas.openxmlformats.org/spreadsheetml/2006/main" id="16" name="Таблица16" displayName="Таблица16" ref="H21:I24" totalsRowShown="0">
  <autoFilter ref="H21:I24"/>
  <tableColumns count="2">
    <tableColumn id="1" name="Код"/>
    <tableColumn id="2" name="Тип маршрута"/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id="17" name="Таблица17" displayName="Таблица17" ref="E23:F25" totalsRowShown="0">
  <autoFilter ref="E23:F25"/>
  <tableColumns count="2">
    <tableColumn id="1" name="Код"/>
    <tableColumn id="2" name="Пол"/>
  </tableColumns>
  <tableStyleInfo name="TableStyleLight3" showFirstColumn="0" showLastColumn="0" showRowStripes="1" showColumnStripes="0"/>
</table>
</file>

<file path=xl/tables/table18.xml><?xml version="1.0" encoding="utf-8"?>
<table xmlns="http://schemas.openxmlformats.org/spreadsheetml/2006/main" id="18" name="Таблица18" displayName="Таблица18" ref="K2:L20" totalsRowShown="0">
  <autoFilter ref="K2:L20"/>
  <tableColumns count="2">
    <tableColumn id="1" name="Код">
      <calculatedColumnFormula>K2+1</calculatedColumnFormula>
    </tableColumn>
    <tableColumn id="2" name="Должность"/>
  </tableColumns>
  <tableStyleInfo name="TableStyleLight3" showFirstColumn="0" showLastColumn="0" showRowStripes="1" showColumnStripes="0"/>
</table>
</file>

<file path=xl/tables/table19.xml><?xml version="1.0" encoding="utf-8"?>
<table xmlns="http://schemas.openxmlformats.org/spreadsheetml/2006/main" id="19" name="Таблица19" displayName="Таблица19" ref="K22:L28" totalsRowShown="0">
  <autoFilter ref="K22:L28"/>
  <tableColumns count="2">
    <tableColumn id="1" name="Код"/>
    <tableColumn id="2" name="Тип образование"/>
  </tableColumns>
  <tableStyleInfo name="TableStyleLight3" showFirstColumn="0" showLastColumn="0" showRowStripes="1" showColumnStripes="0"/>
</table>
</file>

<file path=xl/tables/table20.xml><?xml version="1.0" encoding="utf-8"?>
<table xmlns="http://schemas.openxmlformats.org/spreadsheetml/2006/main" id="20" name="Таблица20" displayName="Таблица20" ref="N2:O7" totalsRowShown="0">
  <autoFilter ref="N2:O7"/>
  <tableColumns count="2">
    <tableColumn id="1" name="Код">
      <calculatedColumnFormula>N2+1</calculatedColumnFormula>
    </tableColumn>
    <tableColumn id="2" name="Подразделения"/>
  </tableColumns>
  <tableStyleInfo name="TableStyleLight3" showFirstColumn="0" showLastColumn="0" showRowStripes="1" showColumnStripes="0"/>
</table>
</file>

<file path=xl/tables/table21.xml><?xml version="1.0" encoding="utf-8"?>
<table xmlns="http://schemas.openxmlformats.org/spreadsheetml/2006/main" id="21" name="Таблица21" displayName="Таблица21" ref="N9:O27" totalsRowShown="0">
  <autoFilter ref="N9:O27"/>
  <tableColumns count="2">
    <tableColumn id="1" name="Должность" dataDxfId="11"/>
    <tableColumn id="2" name="Оклад" dataDxfId="10">
      <calculatedColumnFormula>RANDBETWEEN(10,15)*1000</calculatedColumnFormula>
    </tableColumn>
  </tableColumns>
  <tableStyleInfo name="TableStyleLight3" showFirstColumn="0" showLastColumn="0" showRowStripes="1" showColumnStripes="0"/>
</table>
</file>

<file path=xl/tables/table22.xml><?xml version="1.0" encoding="utf-8"?>
<table xmlns="http://schemas.openxmlformats.org/spreadsheetml/2006/main" id="22" name="Таблица22" displayName="Таблица22" ref="Q2:R8" totalsRowShown="0">
  <autoFilter ref="Q2:R8"/>
  <tableColumns count="2">
    <tableColumn id="1" name="Код">
      <calculatedColumnFormula>Q2+1</calculatedColumnFormula>
    </tableColumn>
    <tableColumn id="2" name="Типы графика"/>
  </tableColumns>
  <tableStyleInfo name="TableStyleLight3" showFirstColumn="0" showLastColumn="0" showRowStripes="1" showColumnStripes="0"/>
</table>
</file>

<file path=xl/tables/table23.xml><?xml version="1.0" encoding="utf-8"?>
<table xmlns="http://schemas.openxmlformats.org/spreadsheetml/2006/main" id="23" name="Таблица23" displayName="Таблица23" ref="Q10:R13" totalsRowShown="0">
  <autoFilter ref="Q10:R13"/>
  <tableColumns count="2">
    <tableColumn id="1" name="Код">
      <calculatedColumnFormula>Q10+1</calculatedColumnFormula>
    </tableColumn>
    <tableColumn id="2" name="Типы смен"/>
  </tableColumns>
  <tableStyleInfo name="TableStyleLight3" showFirstColumn="0" showLastColumn="0" showRowStripes="1" showColumnStripes="0"/>
</table>
</file>

<file path=xl/tables/table24.xml><?xml version="1.0" encoding="utf-8"?>
<table xmlns="http://schemas.openxmlformats.org/spreadsheetml/2006/main" id="24" name="Таблица24" displayName="Таблица24" ref="Q15:R17" totalsRowShown="0">
  <autoFilter ref="Q15:R17"/>
  <tableColumns count="2">
    <tableColumn id="1" name="Код"/>
    <tableColumn id="2" name="Тип оклада"/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id="25" name="Таблица25" displayName="Таблица25" ref="Q19:R22" totalsRowShown="0">
  <autoFilter ref="Q19:R22"/>
  <tableColumns count="2">
    <tableColumn id="1" name="Код">
      <calculatedColumnFormula>Q19+1</calculatedColumnFormula>
    </tableColumn>
    <tableColumn id="2" name="Тип проездного места"/>
  </tableColumns>
  <tableStyleInfo name="TableStyleLight3" showFirstColumn="0" showLastColumn="0" showRowStripes="1" showColumnStripes="0"/>
</table>
</file>

<file path=xl/tables/table26.xml><?xml version="1.0" encoding="utf-8"?>
<table xmlns="http://schemas.openxmlformats.org/spreadsheetml/2006/main" id="26" name="Таблица26" displayName="Таблица26" ref="T2:U38" totalsRowShown="0">
  <autoFilter ref="T2:U38"/>
  <tableColumns count="2">
    <tableColumn id="1" name="id">
      <calculatedColumnFormula>T2+1</calculatedColumnFormula>
    </tableColumn>
    <tableColumn id="2" name="символы"/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id="27" name="Таблица27" displayName="Таблица27" ref="B2:L20" totalsRowShown="0">
  <autoFilter ref="B2:L20"/>
  <tableColumns count="11">
    <tableColumn id="1" name="ГосНомер" dataDxfId="3">
      <calculatedColumnFormula>VLOOKUP(RANDBETWEEN(1,33),lib!$T$2:$U$28,2)&amp;VLOOKUP(RANDBETWEEN(1,33),lib!$T$2:$U$28,2)&amp;VLOOKUP(RANDBETWEEN(1,33),lib!$T$2:$U$28,2)&amp;" "&amp;RANDBETWEEN(0,9)&amp;RANDBETWEEN(0,9)&amp;RANDBETWEEN(0,9)</calculatedColumnFormula>
    </tableColumn>
    <tableColumn id="2" name="Тип собственности" dataDxfId="9">
      <calculatedColumnFormula>IF(Таблица27[[#This Row],[Тип транспорта]]=lib!$C$5,lib!$C$41,VLOOKUP(RANDBETWEEN(0,1),Таблица13[#All],2,0))</calculatedColumnFormula>
    </tableColumn>
    <tableColumn id="3" name="Тип транспорта">
      <calculatedColumnFormula>VLOOKUP(RANDBETWEEN(0,2),Таблица8[#All],2,0)</calculatedColumnFormula>
    </tableColumn>
    <tableColumn id="4" name="Производитель" dataDxfId="8">
      <calculatedColumnFormula>VLOOKUP(RANDBETWEEN(0,7),manuf[#All],2,0)</calculatedColumnFormula>
    </tableColumn>
    <tableColumn id="5" name="Год производства" dataDxfId="7">
      <calculatedColumnFormula>RANDBETWEEN(2000,YEAR(NOW()))</calculatedColumnFormula>
    </tableColumn>
    <tableColumn id="6" name="Цвет" dataDxfId="6">
      <calculatedColumnFormula>VLOOKUP(RANDBETWEEN(0,6),Таблица10[#All],2,0)</calculatedColumnFormula>
    </tableColumn>
    <tableColumn id="7" name="Топливо" dataDxfId="5">
      <calculatedColumnFormula>IF(Таблица27[[#This Row],[Тип транспорта]]=lib!$C$3,lib!$C$29,VLOOKUP(RANDBETWEEN(0,1),Таблица11[#All],2,0))</calculatedColumnFormula>
    </tableColumn>
    <tableColumn id="8" name="Диаметр автопокрышки" dataDxfId="4">
      <calculatedColumnFormula>VLOOKUP(RANDBETWEEN(0,4),Таблица12[#All],2,0)</calculatedColumnFormula>
    </tableColumn>
    <tableColumn id="9" name="VIN-код(кузов)" dataDxfId="1">
      <calculatedColumnFormula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calculatedColumnFormula>
    </tableColumn>
    <tableColumn id="10" name="VIN-код(двигатель)" dataDxfId="2">
      <calculatedColumnFormula>Таблица27[[#This Row],[VIN-код(кузов)]]</calculatedColumnFormula>
    </tableColumn>
    <tableColumn id="11" name="Балансовая стоимость" dataDxfId="0">
      <calculatedColumnFormula>RANDBETWEEN(100,350)*1000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.xml"/><Relationship Id="rId13" Type="http://schemas.openxmlformats.org/officeDocument/2006/relationships/table" Target="../tables/table19.xml"/><Relationship Id="rId18" Type="http://schemas.openxmlformats.org/officeDocument/2006/relationships/table" Target="../tables/table24.xml"/><Relationship Id="rId3" Type="http://schemas.openxmlformats.org/officeDocument/2006/relationships/table" Target="../tables/table9.xml"/><Relationship Id="rId7" Type="http://schemas.openxmlformats.org/officeDocument/2006/relationships/table" Target="../tables/table13.xml"/><Relationship Id="rId12" Type="http://schemas.openxmlformats.org/officeDocument/2006/relationships/table" Target="../tables/table18.xml"/><Relationship Id="rId17" Type="http://schemas.openxmlformats.org/officeDocument/2006/relationships/table" Target="../tables/table23.xml"/><Relationship Id="rId2" Type="http://schemas.openxmlformats.org/officeDocument/2006/relationships/table" Target="../tables/table8.xml"/><Relationship Id="rId16" Type="http://schemas.openxmlformats.org/officeDocument/2006/relationships/table" Target="../tables/table22.xml"/><Relationship Id="rId20" Type="http://schemas.openxmlformats.org/officeDocument/2006/relationships/table" Target="../tables/table26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2.xml"/><Relationship Id="rId11" Type="http://schemas.openxmlformats.org/officeDocument/2006/relationships/table" Target="../tables/table17.xml"/><Relationship Id="rId5" Type="http://schemas.openxmlformats.org/officeDocument/2006/relationships/table" Target="../tables/table11.xml"/><Relationship Id="rId15" Type="http://schemas.openxmlformats.org/officeDocument/2006/relationships/table" Target="../tables/table21.xml"/><Relationship Id="rId10" Type="http://schemas.openxmlformats.org/officeDocument/2006/relationships/table" Target="../tables/table16.xml"/><Relationship Id="rId19" Type="http://schemas.openxmlformats.org/officeDocument/2006/relationships/table" Target="../tables/table25.xml"/><Relationship Id="rId4" Type="http://schemas.openxmlformats.org/officeDocument/2006/relationships/table" Target="../tables/table10.xml"/><Relationship Id="rId9" Type="http://schemas.openxmlformats.org/officeDocument/2006/relationships/table" Target="../tables/table15.xml"/><Relationship Id="rId14" Type="http://schemas.openxmlformats.org/officeDocument/2006/relationships/table" Target="../tables/table2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abSelected="1" zoomScaleNormal="100" workbookViewId="0">
      <selection activeCell="D11" sqref="D11"/>
    </sheetView>
    <sheetView tabSelected="1" workbookViewId="1">
      <selection activeCell="B7" sqref="B7"/>
    </sheetView>
  </sheetViews>
  <sheetFormatPr defaultColWidth="0" defaultRowHeight="15" zeroHeight="1" x14ac:dyDescent="0.25"/>
  <cols>
    <col min="1" max="1" width="9.140625" customWidth="1"/>
    <col min="2" max="2" width="13.7109375" customWidth="1"/>
    <col min="3" max="3" width="29.7109375" bestFit="1" customWidth="1"/>
    <col min="4" max="4" width="21.85546875" customWidth="1"/>
    <col min="5" max="16384" width="9.140625" hidden="1"/>
  </cols>
  <sheetData>
    <row r="1" spans="2:4" x14ac:dyDescent="0.25"/>
    <row r="2" spans="2:4" x14ac:dyDescent="0.25">
      <c r="B2" t="s">
        <v>0</v>
      </c>
      <c r="C2" t="s">
        <v>1</v>
      </c>
    </row>
    <row r="3" spans="2:4" x14ac:dyDescent="0.25">
      <c r="B3" t="s">
        <v>2</v>
      </c>
      <c r="C3" t="s">
        <v>3</v>
      </c>
      <c r="D3" t="s">
        <v>60</v>
      </c>
    </row>
    <row r="4" spans="2:4" x14ac:dyDescent="0.25">
      <c r="B4" t="s">
        <v>4</v>
      </c>
      <c r="C4" t="s">
        <v>3</v>
      </c>
      <c r="D4" t="s">
        <v>60</v>
      </c>
    </row>
    <row r="5" spans="2:4" x14ac:dyDescent="0.25">
      <c r="B5" t="s">
        <v>5</v>
      </c>
      <c r="C5" t="s">
        <v>6</v>
      </c>
      <c r="D5" t="s">
        <v>60</v>
      </c>
    </row>
    <row r="6" spans="2:4" x14ac:dyDescent="0.25">
      <c r="B6" t="s">
        <v>7</v>
      </c>
      <c r="C6" t="s">
        <v>3</v>
      </c>
      <c r="D6" t="s">
        <v>60</v>
      </c>
    </row>
    <row r="7" spans="2:4" x14ac:dyDescent="0.25">
      <c r="B7" t="s">
        <v>8</v>
      </c>
      <c r="C7" t="s">
        <v>9</v>
      </c>
      <c r="D7" t="s">
        <v>60</v>
      </c>
    </row>
    <row r="8" spans="2:4" x14ac:dyDescent="0.25">
      <c r="B8" t="s">
        <v>10</v>
      </c>
      <c r="C8" t="s">
        <v>9</v>
      </c>
      <c r="D8" t="s">
        <v>60</v>
      </c>
    </row>
    <row r="9" spans="2:4" x14ac:dyDescent="0.25">
      <c r="B9" t="s">
        <v>11</v>
      </c>
      <c r="C9" t="s">
        <v>3</v>
      </c>
      <c r="D9" t="s">
        <v>60</v>
      </c>
    </row>
    <row r="10" spans="2:4" x14ac:dyDescent="0.25">
      <c r="B10" t="s">
        <v>32</v>
      </c>
      <c r="C10" t="s">
        <v>3</v>
      </c>
      <c r="D10" t="s">
        <v>60</v>
      </c>
    </row>
    <row r="11" spans="2:4" x14ac:dyDescent="0.25">
      <c r="B11" t="s">
        <v>12</v>
      </c>
      <c r="C11" t="s">
        <v>3</v>
      </c>
      <c r="D11" t="s">
        <v>60</v>
      </c>
    </row>
    <row r="12" spans="2:4" x14ac:dyDescent="0.25">
      <c r="B12" t="s">
        <v>13</v>
      </c>
      <c r="C12" t="s">
        <v>6</v>
      </c>
      <c r="D12" t="s">
        <v>60</v>
      </c>
    </row>
    <row r="13" spans="2:4" x14ac:dyDescent="0.25">
      <c r="B13" t="s">
        <v>14</v>
      </c>
      <c r="C13" t="s">
        <v>9</v>
      </c>
      <c r="D13" t="s">
        <v>60</v>
      </c>
    </row>
    <row r="14" spans="2:4" x14ac:dyDescent="0.25"/>
    <row r="15" spans="2:4" x14ac:dyDescent="0.25">
      <c r="B15" s="1" t="s">
        <v>15</v>
      </c>
      <c r="C15" s="1" t="s">
        <v>1</v>
      </c>
    </row>
    <row r="16" spans="2:4" x14ac:dyDescent="0.25">
      <c r="B16" t="s">
        <v>16</v>
      </c>
      <c r="C16" t="s">
        <v>6</v>
      </c>
    </row>
    <row r="17" spans="2:3" x14ac:dyDescent="0.25">
      <c r="B17" t="s">
        <v>17</v>
      </c>
      <c r="C17" t="s">
        <v>3</v>
      </c>
    </row>
    <row r="18" spans="2:3" x14ac:dyDescent="0.25"/>
    <row r="19" spans="2:3" x14ac:dyDescent="0.25">
      <c r="B19" t="s">
        <v>18</v>
      </c>
      <c r="C19" t="s">
        <v>19</v>
      </c>
    </row>
    <row r="20" spans="2:3" x14ac:dyDescent="0.25">
      <c r="B20" t="s">
        <v>20</v>
      </c>
      <c r="C20" t="s">
        <v>101</v>
      </c>
    </row>
    <row r="21" spans="2:3" x14ac:dyDescent="0.25">
      <c r="B21" t="s">
        <v>21</v>
      </c>
      <c r="C21" t="s">
        <v>3</v>
      </c>
    </row>
    <row r="22" spans="2:3" x14ac:dyDescent="0.25">
      <c r="B22" t="s">
        <v>23</v>
      </c>
      <c r="C22" t="s">
        <v>22</v>
      </c>
    </row>
    <row r="23" spans="2:3" x14ac:dyDescent="0.25">
      <c r="B23" t="s">
        <v>24</v>
      </c>
      <c r="C23" t="s">
        <v>3</v>
      </c>
    </row>
    <row r="24" spans="2:3" x14ac:dyDescent="0.25">
      <c r="B24" t="s">
        <v>25</v>
      </c>
      <c r="C24" t="s">
        <v>3</v>
      </c>
    </row>
    <row r="25" spans="2:3" x14ac:dyDescent="0.25">
      <c r="B25" t="s">
        <v>26</v>
      </c>
      <c r="C25" t="s">
        <v>3</v>
      </c>
    </row>
    <row r="26" spans="2:3" x14ac:dyDescent="0.25">
      <c r="B26" t="s">
        <v>27</v>
      </c>
      <c r="C26" t="s">
        <v>3</v>
      </c>
    </row>
    <row r="27" spans="2:3" x14ac:dyDescent="0.25">
      <c r="B27" t="s">
        <v>31</v>
      </c>
      <c r="C27" t="s">
        <v>3</v>
      </c>
    </row>
    <row r="28" spans="2:3" x14ac:dyDescent="0.25"/>
    <row r="29" spans="2:3" x14ac:dyDescent="0.25">
      <c r="B29" t="s">
        <v>28</v>
      </c>
      <c r="C29" t="s">
        <v>1</v>
      </c>
    </row>
    <row r="30" spans="2:3" x14ac:dyDescent="0.25">
      <c r="B30" t="s">
        <v>29</v>
      </c>
      <c r="C30" t="s">
        <v>3</v>
      </c>
    </row>
    <row r="31" spans="2:3" x14ac:dyDescent="0.25">
      <c r="B31" t="s">
        <v>30</v>
      </c>
      <c r="C31" t="s">
        <v>3</v>
      </c>
    </row>
    <row r="32" spans="2:3" x14ac:dyDescent="0.25"/>
    <row r="33" spans="2:3" x14ac:dyDescent="0.25">
      <c r="B33" t="s">
        <v>33</v>
      </c>
      <c r="C33" t="s">
        <v>1</v>
      </c>
    </row>
    <row r="34" spans="2:3" x14ac:dyDescent="0.25">
      <c r="B34" t="s">
        <v>34</v>
      </c>
      <c r="C34" t="s">
        <v>3</v>
      </c>
    </row>
    <row r="35" spans="2:3" x14ac:dyDescent="0.25"/>
    <row r="36" spans="2:3" x14ac:dyDescent="0.25">
      <c r="B36" t="s">
        <v>35</v>
      </c>
      <c r="C36" t="s">
        <v>1</v>
      </c>
    </row>
    <row r="37" spans="2:3" x14ac:dyDescent="0.25">
      <c r="B37" t="s">
        <v>38</v>
      </c>
      <c r="C37" t="s">
        <v>37</v>
      </c>
    </row>
    <row r="38" spans="2:3" x14ac:dyDescent="0.25"/>
    <row r="39" spans="2:3" x14ac:dyDescent="0.25">
      <c r="B39" t="s">
        <v>147</v>
      </c>
      <c r="C39" t="s">
        <v>1</v>
      </c>
    </row>
    <row r="40" spans="2:3" x14ac:dyDescent="0.25">
      <c r="B40" t="s">
        <v>17</v>
      </c>
      <c r="C40" t="s">
        <v>3</v>
      </c>
    </row>
    <row r="41" spans="2:3" x14ac:dyDescent="0.25">
      <c r="B41" t="s">
        <v>148</v>
      </c>
      <c r="C41" t="s">
        <v>6</v>
      </c>
    </row>
    <row r="42" spans="2:3" x14ac:dyDescent="0.25"/>
    <row r="43" spans="2:3" x14ac:dyDescent="0.25"/>
    <row r="44" spans="2:3" x14ac:dyDescent="0.25"/>
    <row r="45" spans="2:3" x14ac:dyDescent="0.25"/>
    <row r="46" spans="2:3" x14ac:dyDescent="0.25"/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1"/>
  <sheetViews>
    <sheetView topLeftCell="J19" workbookViewId="0">
      <selection activeCell="T39" sqref="T39"/>
    </sheetView>
    <sheetView workbookViewId="1"/>
  </sheetViews>
  <sheetFormatPr defaultRowHeight="15" x14ac:dyDescent="0.25"/>
  <cols>
    <col min="3" max="3" width="21.5703125" customWidth="1"/>
    <col min="6" max="6" width="31.28515625" bestFit="1" customWidth="1"/>
    <col min="9" max="9" width="31.28515625" bestFit="1" customWidth="1"/>
    <col min="12" max="12" width="24.28515625" bestFit="1" customWidth="1"/>
    <col min="14" max="14" width="24.28515625" bestFit="1" customWidth="1"/>
    <col min="15" max="15" width="17.5703125" customWidth="1"/>
    <col min="18" max="18" width="24" bestFit="1" customWidth="1"/>
  </cols>
  <sheetData>
    <row r="2" spans="2:21" x14ac:dyDescent="0.25">
      <c r="B2" t="s">
        <v>62</v>
      </c>
      <c r="C2" t="s">
        <v>36</v>
      </c>
      <c r="E2" t="s">
        <v>62</v>
      </c>
      <c r="F2" t="s">
        <v>15</v>
      </c>
      <c r="H2" t="s">
        <v>62</v>
      </c>
      <c r="I2" t="s">
        <v>76</v>
      </c>
      <c r="K2" t="s">
        <v>62</v>
      </c>
      <c r="L2" t="s">
        <v>24</v>
      </c>
      <c r="N2" t="s">
        <v>62</v>
      </c>
      <c r="O2" t="s">
        <v>126</v>
      </c>
      <c r="Q2" t="s">
        <v>62</v>
      </c>
      <c r="R2" t="s">
        <v>133</v>
      </c>
      <c r="T2" t="s">
        <v>178</v>
      </c>
      <c r="U2" t="s">
        <v>179</v>
      </c>
    </row>
    <row r="3" spans="2:21" x14ac:dyDescent="0.25">
      <c r="B3">
        <v>0</v>
      </c>
      <c r="C3" t="s">
        <v>40</v>
      </c>
      <c r="E3">
        <v>1</v>
      </c>
      <c r="F3" t="str">
        <f ca="1">RANDBETWEEN(0,5)&amp;", "&amp;RANDBETWEEN(6,10)&amp;", "&amp;RANDBETWEEN(11,15)&amp;", "&amp;RANDBETWEEN(16,17)</f>
        <v>3, 6, 12, 17</v>
      </c>
      <c r="H3">
        <v>0</v>
      </c>
      <c r="I3" t="s">
        <v>78</v>
      </c>
      <c r="K3">
        <v>0</v>
      </c>
      <c r="L3" t="s">
        <v>102</v>
      </c>
      <c r="N3">
        <v>0</v>
      </c>
      <c r="O3" t="s">
        <v>127</v>
      </c>
      <c r="Q3">
        <v>0</v>
      </c>
      <c r="R3" t="s">
        <v>134</v>
      </c>
      <c r="T3">
        <v>0</v>
      </c>
      <c r="U3" t="s">
        <v>153</v>
      </c>
    </row>
    <row r="4" spans="2:21" x14ac:dyDescent="0.25">
      <c r="B4">
        <v>1</v>
      </c>
      <c r="C4" t="s">
        <v>41</v>
      </c>
      <c r="E4">
        <v>2</v>
      </c>
      <c r="F4" t="str">
        <f t="shared" ref="F4:F21" ca="1" si="0">RANDBETWEEN(0,5)&amp;", "&amp;RANDBETWEEN(6,10)&amp;", "&amp;RANDBETWEEN(11,15)&amp;", "&amp;RANDBETWEEN(16,17)</f>
        <v>4, 10, 15, 16</v>
      </c>
      <c r="H4">
        <v>1</v>
      </c>
      <c r="I4" t="s">
        <v>79</v>
      </c>
      <c r="K4">
        <f>K3+1</f>
        <v>1</v>
      </c>
      <c r="L4" t="s">
        <v>103</v>
      </c>
      <c r="N4">
        <f>N3+1</f>
        <v>1</v>
      </c>
      <c r="O4" t="s">
        <v>128</v>
      </c>
      <c r="Q4">
        <f>Q3+1</f>
        <v>1</v>
      </c>
      <c r="R4" t="s">
        <v>135</v>
      </c>
      <c r="T4">
        <f>T3+1</f>
        <v>1</v>
      </c>
      <c r="U4" t="s">
        <v>154</v>
      </c>
    </row>
    <row r="5" spans="2:21" x14ac:dyDescent="0.25">
      <c r="B5">
        <v>2</v>
      </c>
      <c r="C5" t="s">
        <v>42</v>
      </c>
      <c r="E5">
        <v>3</v>
      </c>
      <c r="F5" t="str">
        <f t="shared" ca="1" si="0"/>
        <v>0, 8, 13, 16</v>
      </c>
      <c r="H5">
        <v>2</v>
      </c>
      <c r="I5" t="s">
        <v>80</v>
      </c>
      <c r="K5">
        <f t="shared" ref="K5:K19" si="1">K4+1</f>
        <v>2</v>
      </c>
      <c r="L5" t="s">
        <v>104</v>
      </c>
      <c r="N5">
        <f t="shared" ref="N5:N7" si="2">N4+1</f>
        <v>2</v>
      </c>
      <c r="O5" t="s">
        <v>129</v>
      </c>
      <c r="Q5">
        <f t="shared" ref="Q5:Q8" si="3">Q4+1</f>
        <v>2</v>
      </c>
      <c r="R5" t="s">
        <v>136</v>
      </c>
      <c r="T5">
        <f t="shared" ref="T5:T28" si="4">T4+1</f>
        <v>2</v>
      </c>
      <c r="U5" t="s">
        <v>155</v>
      </c>
    </row>
    <row r="6" spans="2:21" x14ac:dyDescent="0.25">
      <c r="E6">
        <v>4</v>
      </c>
      <c r="F6" t="str">
        <f t="shared" ca="1" si="0"/>
        <v>5, 9, 14, 16</v>
      </c>
      <c r="H6">
        <v>3</v>
      </c>
      <c r="I6" t="s">
        <v>81</v>
      </c>
      <c r="K6">
        <f t="shared" si="1"/>
        <v>3</v>
      </c>
      <c r="L6" t="s">
        <v>111</v>
      </c>
      <c r="N6">
        <f t="shared" si="2"/>
        <v>3</v>
      </c>
      <c r="O6" t="s">
        <v>130</v>
      </c>
      <c r="Q6">
        <f t="shared" si="3"/>
        <v>3</v>
      </c>
      <c r="R6" t="s">
        <v>137</v>
      </c>
      <c r="T6">
        <f t="shared" si="4"/>
        <v>3</v>
      </c>
      <c r="U6" t="s">
        <v>156</v>
      </c>
    </row>
    <row r="7" spans="2:21" x14ac:dyDescent="0.25">
      <c r="B7" t="s">
        <v>62</v>
      </c>
      <c r="C7" t="s">
        <v>43</v>
      </c>
      <c r="E7">
        <v>5</v>
      </c>
      <c r="F7" t="str">
        <f t="shared" ca="1" si="0"/>
        <v>2, 8, 11, 16</v>
      </c>
      <c r="H7">
        <v>4</v>
      </c>
      <c r="I7" t="s">
        <v>82</v>
      </c>
      <c r="K7">
        <f t="shared" si="1"/>
        <v>4</v>
      </c>
      <c r="L7" t="s">
        <v>105</v>
      </c>
      <c r="N7">
        <f t="shared" si="2"/>
        <v>4</v>
      </c>
      <c r="O7" t="s">
        <v>132</v>
      </c>
      <c r="Q7">
        <f t="shared" si="3"/>
        <v>4</v>
      </c>
      <c r="R7" s="5" t="s">
        <v>138</v>
      </c>
      <c r="T7">
        <f t="shared" si="4"/>
        <v>4</v>
      </c>
      <c r="U7" t="s">
        <v>157</v>
      </c>
    </row>
    <row r="8" spans="2:21" x14ac:dyDescent="0.25">
      <c r="B8">
        <v>0</v>
      </c>
      <c r="C8" t="s">
        <v>44</v>
      </c>
      <c r="E8">
        <v>6</v>
      </c>
      <c r="F8" t="str">
        <f t="shared" ca="1" si="0"/>
        <v>3, 9, 11, 17</v>
      </c>
      <c r="H8">
        <v>5</v>
      </c>
      <c r="I8" t="s">
        <v>83</v>
      </c>
      <c r="K8">
        <f t="shared" si="1"/>
        <v>5</v>
      </c>
      <c r="L8" t="s">
        <v>106</v>
      </c>
      <c r="Q8">
        <f t="shared" si="3"/>
        <v>5</v>
      </c>
      <c r="R8" s="5" t="s">
        <v>139</v>
      </c>
      <c r="T8">
        <f t="shared" si="4"/>
        <v>5</v>
      </c>
      <c r="U8" t="s">
        <v>158</v>
      </c>
    </row>
    <row r="9" spans="2:21" x14ac:dyDescent="0.25">
      <c r="B9">
        <f>B8+1</f>
        <v>1</v>
      </c>
      <c r="C9" t="s">
        <v>45</v>
      </c>
      <c r="E9">
        <v>7</v>
      </c>
      <c r="F9" t="str">
        <f t="shared" ca="1" si="0"/>
        <v>3, 10, 15, 16</v>
      </c>
      <c r="H9">
        <v>6</v>
      </c>
      <c r="I9" t="s">
        <v>84</v>
      </c>
      <c r="K9">
        <f t="shared" si="1"/>
        <v>6</v>
      </c>
      <c r="L9" t="s">
        <v>112</v>
      </c>
      <c r="N9" t="s">
        <v>24</v>
      </c>
      <c r="O9" t="s">
        <v>31</v>
      </c>
      <c r="T9">
        <f t="shared" si="4"/>
        <v>6</v>
      </c>
      <c r="U9" t="s">
        <v>159</v>
      </c>
    </row>
    <row r="10" spans="2:21" x14ac:dyDescent="0.25">
      <c r="B10">
        <f t="shared" ref="B10:B15" si="5">B9+1</f>
        <v>2</v>
      </c>
      <c r="C10" t="s">
        <v>46</v>
      </c>
      <c r="E10">
        <v>8</v>
      </c>
      <c r="F10" t="str">
        <f t="shared" ca="1" si="0"/>
        <v>0, 8, 15, 16</v>
      </c>
      <c r="H10">
        <v>7</v>
      </c>
      <c r="I10" t="s">
        <v>85</v>
      </c>
      <c r="K10">
        <f t="shared" si="1"/>
        <v>7</v>
      </c>
      <c r="L10" t="s">
        <v>117</v>
      </c>
      <c r="N10" s="2" t="s">
        <v>102</v>
      </c>
      <c r="O10">
        <f t="shared" ref="O10:O27" ca="1" si="6">RANDBETWEEN(10,15)*1000</f>
        <v>14000</v>
      </c>
      <c r="Q10" t="s">
        <v>62</v>
      </c>
      <c r="R10" t="s">
        <v>140</v>
      </c>
      <c r="T10">
        <f t="shared" si="4"/>
        <v>7</v>
      </c>
      <c r="U10" t="s">
        <v>160</v>
      </c>
    </row>
    <row r="11" spans="2:21" x14ac:dyDescent="0.25">
      <c r="B11">
        <f t="shared" si="5"/>
        <v>3</v>
      </c>
      <c r="C11" t="s">
        <v>47</v>
      </c>
      <c r="E11">
        <v>9</v>
      </c>
      <c r="F11" t="str">
        <f t="shared" ca="1" si="0"/>
        <v>3, 7, 11, 16</v>
      </c>
      <c r="H11">
        <v>8</v>
      </c>
      <c r="I11" t="s">
        <v>86</v>
      </c>
      <c r="K11">
        <f t="shared" si="1"/>
        <v>8</v>
      </c>
      <c r="L11" t="s">
        <v>118</v>
      </c>
      <c r="N11" s="3" t="s">
        <v>103</v>
      </c>
      <c r="O11">
        <f t="shared" ca="1" si="6"/>
        <v>11000</v>
      </c>
      <c r="Q11">
        <v>0</v>
      </c>
      <c r="R11" t="s">
        <v>142</v>
      </c>
      <c r="T11">
        <f t="shared" si="4"/>
        <v>8</v>
      </c>
      <c r="U11" t="s">
        <v>141</v>
      </c>
    </row>
    <row r="12" spans="2:21" x14ac:dyDescent="0.25">
      <c r="B12">
        <f t="shared" si="5"/>
        <v>4</v>
      </c>
      <c r="C12" t="s">
        <v>48</v>
      </c>
      <c r="E12">
        <v>10</v>
      </c>
      <c r="F12" t="str">
        <f t="shared" ca="1" si="0"/>
        <v>0, 6, 13, 17</v>
      </c>
      <c r="H12">
        <v>9</v>
      </c>
      <c r="I12" t="s">
        <v>87</v>
      </c>
      <c r="K12">
        <f t="shared" si="1"/>
        <v>9</v>
      </c>
      <c r="L12" t="s">
        <v>107</v>
      </c>
      <c r="N12" s="2" t="s">
        <v>104</v>
      </c>
      <c r="O12">
        <f t="shared" ca="1" si="6"/>
        <v>15000</v>
      </c>
      <c r="Q12">
        <f>Q11+1</f>
        <v>1</v>
      </c>
      <c r="R12" t="s">
        <v>144</v>
      </c>
      <c r="T12">
        <f t="shared" si="4"/>
        <v>9</v>
      </c>
      <c r="U12" t="s">
        <v>161</v>
      </c>
    </row>
    <row r="13" spans="2:21" x14ac:dyDescent="0.25">
      <c r="B13">
        <f t="shared" si="5"/>
        <v>5</v>
      </c>
      <c r="C13" t="s">
        <v>49</v>
      </c>
      <c r="E13">
        <v>11</v>
      </c>
      <c r="F13" t="str">
        <f t="shared" ca="1" si="0"/>
        <v>5, 7, 14, 17</v>
      </c>
      <c r="H13">
        <v>10</v>
      </c>
      <c r="I13" t="s">
        <v>88</v>
      </c>
      <c r="K13">
        <f t="shared" si="1"/>
        <v>10</v>
      </c>
      <c r="L13" t="s">
        <v>108</v>
      </c>
      <c r="N13" s="3" t="s">
        <v>111</v>
      </c>
      <c r="O13">
        <f t="shared" ca="1" si="6"/>
        <v>10000</v>
      </c>
      <c r="Q13">
        <f>Q12+1</f>
        <v>2</v>
      </c>
      <c r="R13" t="s">
        <v>143</v>
      </c>
      <c r="T13">
        <f t="shared" si="4"/>
        <v>10</v>
      </c>
      <c r="U13" t="s">
        <v>162</v>
      </c>
    </row>
    <row r="14" spans="2:21" x14ac:dyDescent="0.25">
      <c r="B14">
        <f t="shared" si="5"/>
        <v>6</v>
      </c>
      <c r="C14" t="s">
        <v>50</v>
      </c>
      <c r="E14">
        <v>12</v>
      </c>
      <c r="F14" t="str">
        <f t="shared" ca="1" si="0"/>
        <v>1, 10, 15, 16</v>
      </c>
      <c r="H14">
        <v>11</v>
      </c>
      <c r="I14" t="s">
        <v>89</v>
      </c>
      <c r="K14">
        <f t="shared" si="1"/>
        <v>11</v>
      </c>
      <c r="L14" t="s">
        <v>116</v>
      </c>
      <c r="N14" s="2" t="s">
        <v>105</v>
      </c>
      <c r="O14">
        <f t="shared" ca="1" si="6"/>
        <v>12000</v>
      </c>
      <c r="T14">
        <f t="shared" si="4"/>
        <v>11</v>
      </c>
      <c r="U14" t="s">
        <v>163</v>
      </c>
    </row>
    <row r="15" spans="2:21" x14ac:dyDescent="0.25">
      <c r="B15">
        <f t="shared" si="5"/>
        <v>7</v>
      </c>
      <c r="C15" t="s">
        <v>51</v>
      </c>
      <c r="E15">
        <v>13</v>
      </c>
      <c r="F15" t="str">
        <f t="shared" ca="1" si="0"/>
        <v>4, 9, 13, 17</v>
      </c>
      <c r="H15">
        <v>12</v>
      </c>
      <c r="I15" t="s">
        <v>90</v>
      </c>
      <c r="K15">
        <f t="shared" si="1"/>
        <v>12</v>
      </c>
      <c r="L15" t="s">
        <v>109</v>
      </c>
      <c r="N15" s="3" t="s">
        <v>106</v>
      </c>
      <c r="O15">
        <f t="shared" ca="1" si="6"/>
        <v>13000</v>
      </c>
      <c r="Q15" t="s">
        <v>62</v>
      </c>
      <c r="R15" t="s">
        <v>34</v>
      </c>
      <c r="T15">
        <f t="shared" si="4"/>
        <v>12</v>
      </c>
      <c r="U15" t="s">
        <v>164</v>
      </c>
    </row>
    <row r="16" spans="2:21" x14ac:dyDescent="0.25">
      <c r="E16">
        <v>14</v>
      </c>
      <c r="F16" t="str">
        <f t="shared" ca="1" si="0"/>
        <v>4, 7, 15, 17</v>
      </c>
      <c r="H16">
        <v>13</v>
      </c>
      <c r="I16" t="s">
        <v>91</v>
      </c>
      <c r="K16">
        <f t="shared" si="1"/>
        <v>13</v>
      </c>
      <c r="L16" t="s">
        <v>113</v>
      </c>
      <c r="N16" s="2" t="s">
        <v>112</v>
      </c>
      <c r="O16">
        <f t="shared" ca="1" si="6"/>
        <v>13000</v>
      </c>
      <c r="Q16">
        <v>0</v>
      </c>
      <c r="R16" t="s">
        <v>145</v>
      </c>
      <c r="T16">
        <f t="shared" si="4"/>
        <v>13</v>
      </c>
      <c r="U16" t="s">
        <v>165</v>
      </c>
    </row>
    <row r="17" spans="2:21" x14ac:dyDescent="0.25">
      <c r="B17" t="s">
        <v>62</v>
      </c>
      <c r="C17" t="s">
        <v>52</v>
      </c>
      <c r="E17">
        <v>15</v>
      </c>
      <c r="F17" t="str">
        <f t="shared" ca="1" si="0"/>
        <v>1, 7, 15, 16</v>
      </c>
      <c r="H17">
        <v>14</v>
      </c>
      <c r="I17" t="s">
        <v>92</v>
      </c>
      <c r="K17">
        <f t="shared" si="1"/>
        <v>14</v>
      </c>
      <c r="L17" t="s">
        <v>114</v>
      </c>
      <c r="N17" s="3" t="s">
        <v>117</v>
      </c>
      <c r="O17">
        <f t="shared" ca="1" si="6"/>
        <v>11000</v>
      </c>
      <c r="Q17">
        <v>1</v>
      </c>
      <c r="R17" t="s">
        <v>146</v>
      </c>
      <c r="T17">
        <f t="shared" si="4"/>
        <v>14</v>
      </c>
      <c r="U17" t="s">
        <v>166</v>
      </c>
    </row>
    <row r="18" spans="2:21" x14ac:dyDescent="0.25">
      <c r="B18">
        <v>0</v>
      </c>
      <c r="C18" t="s">
        <v>53</v>
      </c>
      <c r="E18">
        <v>16</v>
      </c>
      <c r="F18" t="str">
        <f t="shared" ca="1" si="0"/>
        <v>4, 7, 15, 17</v>
      </c>
      <c r="H18">
        <v>15</v>
      </c>
      <c r="I18" t="s">
        <v>93</v>
      </c>
      <c r="K18">
        <f t="shared" si="1"/>
        <v>15</v>
      </c>
      <c r="L18" t="s">
        <v>115</v>
      </c>
      <c r="N18" s="2" t="s">
        <v>118</v>
      </c>
      <c r="O18">
        <f t="shared" ca="1" si="6"/>
        <v>11000</v>
      </c>
      <c r="T18">
        <f t="shared" si="4"/>
        <v>15</v>
      </c>
      <c r="U18" t="s">
        <v>167</v>
      </c>
    </row>
    <row r="19" spans="2:21" x14ac:dyDescent="0.25">
      <c r="B19">
        <f>B18+1</f>
        <v>1</v>
      </c>
      <c r="C19" t="s">
        <v>54</v>
      </c>
      <c r="E19">
        <v>17</v>
      </c>
      <c r="F19" t="str">
        <f t="shared" ca="1" si="0"/>
        <v>4, 6, 15, 17</v>
      </c>
      <c r="H19">
        <v>16</v>
      </c>
      <c r="I19" t="s">
        <v>94</v>
      </c>
      <c r="K19">
        <f t="shared" si="1"/>
        <v>16</v>
      </c>
      <c r="L19" t="s">
        <v>110</v>
      </c>
      <c r="N19" s="3" t="s">
        <v>107</v>
      </c>
      <c r="O19">
        <f t="shared" ca="1" si="6"/>
        <v>10000</v>
      </c>
      <c r="Q19" t="s">
        <v>62</v>
      </c>
      <c r="R19" t="s">
        <v>149</v>
      </c>
      <c r="T19">
        <f t="shared" si="4"/>
        <v>16</v>
      </c>
      <c r="U19" t="s">
        <v>168</v>
      </c>
    </row>
    <row r="20" spans="2:21" x14ac:dyDescent="0.25">
      <c r="B20">
        <f t="shared" ref="B20:B24" si="7">B19+1</f>
        <v>2</v>
      </c>
      <c r="C20" t="s">
        <v>55</v>
      </c>
      <c r="E20">
        <v>18</v>
      </c>
      <c r="F20" t="str">
        <f t="shared" ca="1" si="0"/>
        <v>1, 9, 13, 16</v>
      </c>
      <c r="K20">
        <v>17</v>
      </c>
      <c r="L20" t="s">
        <v>131</v>
      </c>
      <c r="N20" s="2" t="s">
        <v>108</v>
      </c>
      <c r="O20">
        <f t="shared" ca="1" si="6"/>
        <v>12000</v>
      </c>
      <c r="Q20">
        <v>0</v>
      </c>
      <c r="R20" t="s">
        <v>150</v>
      </c>
      <c r="T20">
        <f t="shared" si="4"/>
        <v>17</v>
      </c>
      <c r="U20" t="s">
        <v>169</v>
      </c>
    </row>
    <row r="21" spans="2:21" x14ac:dyDescent="0.25">
      <c r="B21">
        <f t="shared" si="7"/>
        <v>3</v>
      </c>
      <c r="C21" t="s">
        <v>56</v>
      </c>
      <c r="E21">
        <v>19</v>
      </c>
      <c r="F21" t="str">
        <f t="shared" ca="1" si="0"/>
        <v>3, 8, 15, 17</v>
      </c>
      <c r="H21" t="s">
        <v>62</v>
      </c>
      <c r="I21" t="s">
        <v>95</v>
      </c>
      <c r="N21" s="3" t="s">
        <v>116</v>
      </c>
      <c r="O21">
        <f t="shared" ca="1" si="6"/>
        <v>10000</v>
      </c>
      <c r="Q21">
        <f>Q20+1</f>
        <v>1</v>
      </c>
      <c r="R21" t="s">
        <v>151</v>
      </c>
      <c r="T21">
        <f t="shared" si="4"/>
        <v>18</v>
      </c>
      <c r="U21" t="s">
        <v>170</v>
      </c>
    </row>
    <row r="22" spans="2:21" x14ac:dyDescent="0.25">
      <c r="B22">
        <f t="shared" si="7"/>
        <v>4</v>
      </c>
      <c r="C22" t="s">
        <v>57</v>
      </c>
      <c r="H22">
        <v>0</v>
      </c>
      <c r="I22" t="s">
        <v>96</v>
      </c>
      <c r="K22" t="s">
        <v>62</v>
      </c>
      <c r="L22" t="s">
        <v>119</v>
      </c>
      <c r="N22" s="2" t="s">
        <v>109</v>
      </c>
      <c r="O22">
        <f t="shared" ca="1" si="6"/>
        <v>14000</v>
      </c>
      <c r="Q22">
        <f>Q21+1</f>
        <v>2</v>
      </c>
      <c r="R22" t="s">
        <v>39</v>
      </c>
      <c r="T22">
        <f t="shared" si="4"/>
        <v>19</v>
      </c>
      <c r="U22" t="s">
        <v>171</v>
      </c>
    </row>
    <row r="23" spans="2:21" x14ac:dyDescent="0.25">
      <c r="B23">
        <f t="shared" si="7"/>
        <v>5</v>
      </c>
      <c r="C23" t="s">
        <v>58</v>
      </c>
      <c r="E23" t="s">
        <v>62</v>
      </c>
      <c r="F23" t="s">
        <v>21</v>
      </c>
      <c r="H23">
        <v>1</v>
      </c>
      <c r="I23" t="s">
        <v>97</v>
      </c>
      <c r="K23">
        <v>0</v>
      </c>
      <c r="L23" t="s">
        <v>120</v>
      </c>
      <c r="N23" s="3" t="s">
        <v>113</v>
      </c>
      <c r="O23">
        <f t="shared" ca="1" si="6"/>
        <v>10000</v>
      </c>
      <c r="T23">
        <f t="shared" si="4"/>
        <v>20</v>
      </c>
      <c r="U23" t="s">
        <v>172</v>
      </c>
    </row>
    <row r="24" spans="2:21" x14ac:dyDescent="0.25">
      <c r="B24">
        <f t="shared" si="7"/>
        <v>6</v>
      </c>
      <c r="C24" t="s">
        <v>59</v>
      </c>
      <c r="E24">
        <v>0</v>
      </c>
      <c r="F24" t="s">
        <v>99</v>
      </c>
      <c r="G24" t="s">
        <v>77</v>
      </c>
      <c r="H24">
        <v>2</v>
      </c>
      <c r="I24" t="s">
        <v>98</v>
      </c>
      <c r="K24">
        <v>1</v>
      </c>
      <c r="L24" t="s">
        <v>121</v>
      </c>
      <c r="N24" s="2" t="s">
        <v>114</v>
      </c>
      <c r="O24">
        <f t="shared" ca="1" si="6"/>
        <v>12000</v>
      </c>
      <c r="T24">
        <f t="shared" si="4"/>
        <v>21</v>
      </c>
      <c r="U24" t="s">
        <v>173</v>
      </c>
    </row>
    <row r="25" spans="2:21" x14ac:dyDescent="0.25">
      <c r="E25">
        <v>1</v>
      </c>
      <c r="F25" t="s">
        <v>100</v>
      </c>
      <c r="G25" t="s">
        <v>77</v>
      </c>
      <c r="K25">
        <v>2</v>
      </c>
      <c r="L25" t="s">
        <v>122</v>
      </c>
      <c r="N25" s="3" t="s">
        <v>115</v>
      </c>
      <c r="O25">
        <f t="shared" ca="1" si="6"/>
        <v>12000</v>
      </c>
      <c r="T25">
        <f t="shared" si="4"/>
        <v>22</v>
      </c>
      <c r="U25" t="s">
        <v>174</v>
      </c>
    </row>
    <row r="26" spans="2:21" x14ac:dyDescent="0.25">
      <c r="B26" t="s">
        <v>62</v>
      </c>
      <c r="C26" t="s">
        <v>61</v>
      </c>
      <c r="G26" t="s">
        <v>77</v>
      </c>
      <c r="K26">
        <v>3</v>
      </c>
      <c r="L26" t="s">
        <v>123</v>
      </c>
      <c r="N26" s="2" t="s">
        <v>110</v>
      </c>
      <c r="O26">
        <f t="shared" ca="1" si="6"/>
        <v>12000</v>
      </c>
      <c r="T26">
        <f t="shared" si="4"/>
        <v>23</v>
      </c>
      <c r="U26" t="s">
        <v>175</v>
      </c>
    </row>
    <row r="27" spans="2:21" x14ac:dyDescent="0.25">
      <c r="B27">
        <v>0</v>
      </c>
      <c r="C27" t="s">
        <v>63</v>
      </c>
      <c r="K27">
        <v>4</v>
      </c>
      <c r="L27" t="s">
        <v>124</v>
      </c>
      <c r="N27" s="4" t="s">
        <v>131</v>
      </c>
      <c r="O27">
        <f t="shared" ca="1" si="6"/>
        <v>11000</v>
      </c>
      <c r="T27">
        <f t="shared" si="4"/>
        <v>24</v>
      </c>
      <c r="U27" t="s">
        <v>176</v>
      </c>
    </row>
    <row r="28" spans="2:21" x14ac:dyDescent="0.25">
      <c r="B28">
        <v>1</v>
      </c>
      <c r="C28" t="s">
        <v>65</v>
      </c>
      <c r="K28">
        <v>5</v>
      </c>
      <c r="L28" t="s">
        <v>125</v>
      </c>
      <c r="T28">
        <f t="shared" si="4"/>
        <v>25</v>
      </c>
      <c r="U28" t="s">
        <v>177</v>
      </c>
    </row>
    <row r="29" spans="2:21" x14ac:dyDescent="0.25">
      <c r="B29">
        <v>2</v>
      </c>
      <c r="C29" t="s">
        <v>64</v>
      </c>
      <c r="T29">
        <f>T28+1</f>
        <v>26</v>
      </c>
      <c r="U29">
        <v>0</v>
      </c>
    </row>
    <row r="30" spans="2:21" x14ac:dyDescent="0.25">
      <c r="T30">
        <f>T29+1</f>
        <v>27</v>
      </c>
      <c r="U30">
        <v>1</v>
      </c>
    </row>
    <row r="31" spans="2:21" x14ac:dyDescent="0.25">
      <c r="B31" t="s">
        <v>62</v>
      </c>
      <c r="C31" t="s">
        <v>66</v>
      </c>
      <c r="T31">
        <f>T30+1</f>
        <v>28</v>
      </c>
      <c r="U31">
        <v>2</v>
      </c>
    </row>
    <row r="32" spans="2:21" x14ac:dyDescent="0.25">
      <c r="B32">
        <v>0</v>
      </c>
      <c r="C32" t="s">
        <v>67</v>
      </c>
      <c r="T32">
        <f>T31+1</f>
        <v>29</v>
      </c>
      <c r="U32">
        <v>3</v>
      </c>
    </row>
    <row r="33" spans="2:21" x14ac:dyDescent="0.25">
      <c r="B33">
        <v>1</v>
      </c>
      <c r="C33" t="s">
        <v>68</v>
      </c>
      <c r="T33">
        <f>T32+1</f>
        <v>30</v>
      </c>
      <c r="U33">
        <v>4</v>
      </c>
    </row>
    <row r="34" spans="2:21" x14ac:dyDescent="0.25">
      <c r="B34">
        <v>2</v>
      </c>
      <c r="C34" t="s">
        <v>69</v>
      </c>
      <c r="T34">
        <f>T33+1</f>
        <v>31</v>
      </c>
      <c r="U34">
        <v>5</v>
      </c>
    </row>
    <row r="35" spans="2:21" x14ac:dyDescent="0.25">
      <c r="B35">
        <v>3</v>
      </c>
      <c r="C35" t="s">
        <v>70</v>
      </c>
      <c r="T35">
        <f>T34+1</f>
        <v>32</v>
      </c>
      <c r="U35">
        <v>6</v>
      </c>
    </row>
    <row r="36" spans="2:21" x14ac:dyDescent="0.25">
      <c r="B36">
        <v>4</v>
      </c>
      <c r="C36" t="s">
        <v>71</v>
      </c>
      <c r="T36">
        <f>T35+1</f>
        <v>33</v>
      </c>
      <c r="U36">
        <v>7</v>
      </c>
    </row>
    <row r="37" spans="2:21" x14ac:dyDescent="0.25">
      <c r="T37">
        <f>T36+1</f>
        <v>34</v>
      </c>
      <c r="U37">
        <v>8</v>
      </c>
    </row>
    <row r="38" spans="2:21" x14ac:dyDescent="0.25">
      <c r="B38" t="s">
        <v>62</v>
      </c>
      <c r="C38" t="s">
        <v>72</v>
      </c>
      <c r="T38">
        <f>T37+1</f>
        <v>35</v>
      </c>
      <c r="U38">
        <v>9</v>
      </c>
    </row>
    <row r="39" spans="2:21" x14ac:dyDescent="0.25">
      <c r="B39">
        <v>0</v>
      </c>
      <c r="C39" t="s">
        <v>73</v>
      </c>
    </row>
    <row r="40" spans="2:21" x14ac:dyDescent="0.25">
      <c r="B40">
        <v>1</v>
      </c>
      <c r="C40" t="s">
        <v>74</v>
      </c>
    </row>
    <row r="41" spans="2:21" x14ac:dyDescent="0.25">
      <c r="B41">
        <v>2</v>
      </c>
      <c r="C41" t="s">
        <v>75</v>
      </c>
    </row>
  </sheetData>
  <sortState ref="G24:G44">
    <sortCondition ref="G24"/>
  </sortState>
  <pageMargins left="0.7" right="0.7" top="0.75" bottom="0.75" header="0.3" footer="0.3"/>
  <pageSetup paperSize="9" orientation="portrait" verticalDpi="0" r:id="rId1"/>
  <tableParts count="1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0"/>
  <sheetViews>
    <sheetView topLeftCell="A2" workbookViewId="0">
      <selection activeCell="B2" sqref="B2"/>
    </sheetView>
    <sheetView workbookViewId="1">
      <selection activeCell="B2" sqref="B2"/>
    </sheetView>
  </sheetViews>
  <sheetFormatPr defaultRowHeight="15" x14ac:dyDescent="0.25"/>
  <cols>
    <col min="2" max="2" width="12.140625" customWidth="1"/>
    <col min="3" max="3" width="20.140625" customWidth="1"/>
    <col min="4" max="4" width="18.42578125" bestFit="1" customWidth="1"/>
    <col min="5" max="5" width="17.28515625" customWidth="1"/>
    <col min="6" max="6" width="19.140625" customWidth="1"/>
    <col min="7" max="7" width="14.140625" customWidth="1"/>
    <col min="8" max="8" width="21.5703125" bestFit="1" customWidth="1"/>
    <col min="9" max="9" width="25.28515625" customWidth="1"/>
    <col min="10" max="10" width="30.28515625" bestFit="1" customWidth="1"/>
    <col min="11" max="11" width="31.140625" bestFit="1" customWidth="1"/>
    <col min="12" max="12" width="23.28515625" customWidth="1"/>
  </cols>
  <sheetData>
    <row r="2" spans="2:12" x14ac:dyDescent="0.25">
      <c r="B2" t="s">
        <v>14</v>
      </c>
      <c r="C2" t="s">
        <v>12</v>
      </c>
      <c r="D2" t="s">
        <v>2</v>
      </c>
      <c r="E2" t="s">
        <v>4</v>
      </c>
      <c r="F2" t="s">
        <v>5</v>
      </c>
      <c r="G2" t="s">
        <v>7</v>
      </c>
      <c r="H2" t="s">
        <v>11</v>
      </c>
      <c r="I2" t="s">
        <v>152</v>
      </c>
      <c r="J2" t="s">
        <v>10</v>
      </c>
      <c r="K2" t="s">
        <v>8</v>
      </c>
      <c r="L2" t="s">
        <v>13</v>
      </c>
    </row>
    <row r="3" spans="2:12" x14ac:dyDescent="0.25">
      <c r="B3" s="6" t="str">
        <f ca="1">VLOOKUP(RANDBETWEEN(1,33),lib!$T$2:$U$28,2)&amp;VLOOKUP(RANDBETWEEN(1,33),lib!$T$2:$U$28,2)&amp;VLOOKUP(RANDBETWEEN(1,33),lib!$T$2:$U$28,2)&amp;" "&amp;RANDBETWEEN(0,9)&amp;RANDBETWEEN(0,9)&amp;RANDBETWEEN(0,9)</f>
        <v>ZTW 570</v>
      </c>
      <c r="C3" s="6" t="str">
        <f ca="1">IF(Таблица27[[#This Row],[Тип транспорта]]=lib!$C$5,lib!$C$41,VLOOKUP(RANDBETWEEN(0,1),Таблица13[#All],2,0))</f>
        <v>Аренда</v>
      </c>
      <c r="D3" s="6" t="str">
        <f ca="1">VLOOKUP(RANDBETWEEN(0,2),Таблица8[#All],2,0)</f>
        <v>Троллейбус</v>
      </c>
      <c r="E3" t="str">
        <f ca="1">VLOOKUP(RANDBETWEEN(0,7),manuf[#All],2,0)</f>
        <v>HIGER</v>
      </c>
      <c r="F3">
        <f t="shared" ref="F3:F20" ca="1" si="0">RANDBETWEEN(2000,YEAR(NOW()))</f>
        <v>2007</v>
      </c>
      <c r="G3" t="str">
        <f ca="1">VLOOKUP(RANDBETWEEN(0,6),Таблица10[#All],2,0)</f>
        <v>Зеленый</v>
      </c>
      <c r="H3" t="str">
        <f ca="1">IF(Таблица27[[#This Row],[Тип транспорта]]=lib!$C$3,lib!$C$29,VLOOKUP(RANDBETWEEN(0,1),Таблица11[#All],2,0))</f>
        <v>Электричество</v>
      </c>
      <c r="I3" t="str">
        <f ca="1">VLOOKUP(RANDBETWEEN(0,4),Таблица12[#All],2,0)</f>
        <v>275/70R22.5</v>
      </c>
      <c r="J3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IKU8J61OS4B06LG7MYZ0X4RQ</v>
      </c>
      <c r="K3" t="str">
        <f ca="1">Таблица27[[#This Row],[VIN-код(кузов)]]</f>
        <v>IKU8J61OS4B06LG7MYZ0X4RQ</v>
      </c>
      <c r="L3">
        <f t="shared" ref="L3:L20" ca="1" si="1">RANDBETWEEN(100,350)*1000</f>
        <v>213000</v>
      </c>
    </row>
    <row r="4" spans="2:12" x14ac:dyDescent="0.25">
      <c r="B4" s="6" t="str">
        <f ca="1">VLOOKUP(RANDBETWEEN(1,33),lib!$T$2:$U$28,2)&amp;VLOOKUP(RANDBETWEEN(1,33),lib!$T$2:$U$28,2)&amp;VLOOKUP(RANDBETWEEN(1,33),lib!$T$2:$U$28,2)&amp;" "&amp;RANDBETWEEN(0,9)&amp;RANDBETWEEN(0,9)&amp;RANDBETWEEN(0,9)</f>
        <v>RZI 076</v>
      </c>
      <c r="C4" s="6" t="str">
        <f ca="1">IF(Таблица27[[#This Row],[Тип транспорта]]=lib!$C$5,lib!$C$41,VLOOKUP(RANDBETWEEN(0,1),Таблица13[#All],2,0))</f>
        <v>Лизинг</v>
      </c>
      <c r="D4" s="6" t="str">
        <f ca="1">VLOOKUP(RANDBETWEEN(0,2),Таблица8[#All],2,0)</f>
        <v>Маршрутное такси</v>
      </c>
      <c r="E4" t="str">
        <f ca="1">VLOOKUP(RANDBETWEEN(0,7),manuf[#All],2,0)</f>
        <v>DAEWOO</v>
      </c>
      <c r="F4">
        <f t="shared" ca="1" si="0"/>
        <v>2022</v>
      </c>
      <c r="G4" t="str">
        <f ca="1">VLOOKUP(RANDBETWEEN(0,6),Таблица10[#All],2,0)</f>
        <v>Фиолетовый</v>
      </c>
      <c r="H4" t="str">
        <f ca="1">IF(Таблица27[[#This Row],[Тип транспорта]]=lib!$C$3,lib!$C$29,VLOOKUP(RANDBETWEEN(0,1),Таблица11[#All],2,0))</f>
        <v>Дизтопливо</v>
      </c>
      <c r="I4" t="str">
        <f ca="1">VLOOKUP(RANDBETWEEN(0,4),Таблица12[#All],2,0)</f>
        <v>205/75R17,5</v>
      </c>
      <c r="J4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CLD2KMXEN14HUFCUUVW5PJ13</v>
      </c>
      <c r="K4" t="str">
        <f ca="1">Таблица27[[#This Row],[VIN-код(кузов)]]</f>
        <v>CLD2KMXEN14HUFCUUVW5PJ13</v>
      </c>
      <c r="L4">
        <f t="shared" ca="1" si="1"/>
        <v>174000</v>
      </c>
    </row>
    <row r="5" spans="2:12" x14ac:dyDescent="0.25">
      <c r="B5" s="6" t="str">
        <f ca="1">VLOOKUP(RANDBETWEEN(1,33),lib!$T$2:$U$28,2)&amp;VLOOKUP(RANDBETWEEN(1,33),lib!$T$2:$U$28,2)&amp;VLOOKUP(RANDBETWEEN(1,33),lib!$T$2:$U$28,2)&amp;" "&amp;RANDBETWEEN(0,9)&amp;RANDBETWEEN(0,9)&amp;RANDBETWEEN(0,9)</f>
        <v>IHN 528</v>
      </c>
      <c r="C5" s="6" t="str">
        <f ca="1">IF(Таблица27[[#This Row],[Тип транспорта]]=lib!$C$5,lib!$C$41,VLOOKUP(RANDBETWEEN(0,1),Таблица13[#All],2,0))</f>
        <v>Проприетарная</v>
      </c>
      <c r="D5" s="6" t="str">
        <f ca="1">VLOOKUP(RANDBETWEEN(0,2),Таблица8[#All],2,0)</f>
        <v>Автобус</v>
      </c>
      <c r="E5" t="str">
        <f ca="1">VLOOKUP(RANDBETWEEN(0,7),manuf[#All],2,0)</f>
        <v>HYUNDAI</v>
      </c>
      <c r="F5">
        <f t="shared" ca="1" si="0"/>
        <v>2020</v>
      </c>
      <c r="G5" t="str">
        <f ca="1">VLOOKUP(RANDBETWEEN(0,6),Таблица10[#All],2,0)</f>
        <v>Фиолетовый</v>
      </c>
      <c r="H5" t="str">
        <f ca="1">IF(Таблица27[[#This Row],[Тип транспорта]]=lib!$C$3,lib!$C$29,VLOOKUP(RANDBETWEEN(0,1),Таблица11[#All],2,0))</f>
        <v>Дизтопливо</v>
      </c>
      <c r="I5" t="str">
        <f ca="1">VLOOKUP(RANDBETWEEN(0,4),Таблица12[#All],2,0)</f>
        <v>215/75R17,5</v>
      </c>
      <c r="J5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8QNENTP115Q0OWGJ7SEXU40B</v>
      </c>
      <c r="K5" t="str">
        <f ca="1">Таблица27[[#This Row],[VIN-код(кузов)]]</f>
        <v>8QNENTP115Q0OWGJ7SEXU40B</v>
      </c>
      <c r="L5">
        <f t="shared" ca="1" si="1"/>
        <v>227000</v>
      </c>
    </row>
    <row r="6" spans="2:12" x14ac:dyDescent="0.25">
      <c r="B6" s="6" t="str">
        <f ca="1">VLOOKUP(RANDBETWEEN(1,33),lib!$T$2:$U$28,2)&amp;VLOOKUP(RANDBETWEEN(1,33),lib!$T$2:$U$28,2)&amp;VLOOKUP(RANDBETWEEN(1,33),lib!$T$2:$U$28,2)&amp;" "&amp;RANDBETWEEN(0,9)&amp;RANDBETWEEN(0,9)&amp;RANDBETWEEN(0,9)</f>
        <v>ZHI 532</v>
      </c>
      <c r="C6" s="6" t="str">
        <f ca="1">IF(Таблица27[[#This Row],[Тип транспорта]]=lib!$C$5,lib!$C$41,VLOOKUP(RANDBETWEEN(0,1),Таблица13[#All],2,0))</f>
        <v>Аренда</v>
      </c>
      <c r="D6" s="6" t="str">
        <f ca="1">VLOOKUP(RANDBETWEEN(0,2),Таблица8[#All],2,0)</f>
        <v>Автобус</v>
      </c>
      <c r="E6" t="str">
        <f ca="1">VLOOKUP(RANDBETWEEN(0,7),manuf[#All],2,0)</f>
        <v>GOLDEN DRAGON</v>
      </c>
      <c r="F6">
        <f t="shared" ca="1" si="0"/>
        <v>2000</v>
      </c>
      <c r="G6" t="str">
        <f ca="1">VLOOKUP(RANDBETWEEN(0,6),Таблица10[#All],2,0)</f>
        <v>Фиолетовый</v>
      </c>
      <c r="H6" t="str">
        <f ca="1">IF(Таблица27[[#This Row],[Тип транспорта]]=lib!$C$3,lib!$C$29,VLOOKUP(RANDBETWEEN(0,1),Таблица11[#All],2,0))</f>
        <v>Дизтопливо</v>
      </c>
      <c r="I6" t="str">
        <f ca="1">VLOOKUP(RANDBETWEEN(0,4),Таблица12[#All],2,0)</f>
        <v>295/80R22,5</v>
      </c>
      <c r="J6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CXLI09T2RONBFLVC53RV0MA2</v>
      </c>
      <c r="K6" t="str">
        <f ca="1">Таблица27[[#This Row],[VIN-код(кузов)]]</f>
        <v>CXLI09T2RONBFLVC53RV0MA2</v>
      </c>
      <c r="L6">
        <f t="shared" ca="1" si="1"/>
        <v>333000</v>
      </c>
    </row>
    <row r="7" spans="2:12" x14ac:dyDescent="0.25">
      <c r="B7" s="6" t="str">
        <f ca="1">VLOOKUP(RANDBETWEEN(1,33),lib!$T$2:$U$28,2)&amp;VLOOKUP(RANDBETWEEN(1,33),lib!$T$2:$U$28,2)&amp;VLOOKUP(RANDBETWEEN(1,33),lib!$T$2:$U$28,2)&amp;" "&amp;RANDBETWEEN(0,9)&amp;RANDBETWEEN(0,9)&amp;RANDBETWEEN(0,9)</f>
        <v>ZZZ 986</v>
      </c>
      <c r="C7" s="6" t="str">
        <f ca="1">IF(Таблица27[[#This Row],[Тип транспорта]]=lib!$C$5,lib!$C$41,VLOOKUP(RANDBETWEEN(0,1),Таблица13[#All],2,0))</f>
        <v>Проприетарная</v>
      </c>
      <c r="D7" s="6" t="str">
        <f ca="1">VLOOKUP(RANDBETWEEN(0,2),Таблица8[#All],2,0)</f>
        <v>Троллейбус</v>
      </c>
      <c r="E7" t="str">
        <f ca="1">VLOOKUP(RANDBETWEEN(0,7),manuf[#All],2,0)</f>
        <v>DAEWOO</v>
      </c>
      <c r="F7">
        <f t="shared" ca="1" si="0"/>
        <v>2018</v>
      </c>
      <c r="G7" t="str">
        <f ca="1">VLOOKUP(RANDBETWEEN(0,6),Таблица10[#All],2,0)</f>
        <v>Желтый</v>
      </c>
      <c r="H7" t="str">
        <f ca="1">IF(Таблица27[[#This Row],[Тип транспорта]]=lib!$C$3,lib!$C$29,VLOOKUP(RANDBETWEEN(0,1),Таблица11[#All],2,0))</f>
        <v>Электричество</v>
      </c>
      <c r="I7" t="str">
        <f ca="1">VLOOKUP(RANDBETWEEN(0,4),Таблица12[#All],2,0)</f>
        <v>205/75R17,5</v>
      </c>
      <c r="J7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0WQZKLBDDJBR9RLC06W2RWPL</v>
      </c>
      <c r="K7" t="str">
        <f ca="1">Таблица27[[#This Row],[VIN-код(кузов)]]</f>
        <v>0WQZKLBDDJBR9RLC06W2RWPL</v>
      </c>
      <c r="L7">
        <f t="shared" ca="1" si="1"/>
        <v>264000</v>
      </c>
    </row>
    <row r="8" spans="2:12" x14ac:dyDescent="0.25">
      <c r="B8" s="6" t="str">
        <f ca="1">VLOOKUP(RANDBETWEEN(1,33),lib!$T$2:$U$28,2)&amp;VLOOKUP(RANDBETWEEN(1,33),lib!$T$2:$U$28,2)&amp;VLOOKUP(RANDBETWEEN(1,33),lib!$T$2:$U$28,2)&amp;" "&amp;RANDBETWEEN(0,9)&amp;RANDBETWEEN(0,9)&amp;RANDBETWEEN(0,9)</f>
        <v>MBM 967</v>
      </c>
      <c r="C8" s="6" t="str">
        <f ca="1">IF(Таблица27[[#This Row],[Тип транспорта]]=lib!$C$5,lib!$C$41,VLOOKUP(RANDBETWEEN(0,1),Таблица13[#All],2,0))</f>
        <v>Аренда</v>
      </c>
      <c r="D8" s="6" t="str">
        <f ca="1">VLOOKUP(RANDBETWEEN(0,2),Таблица8[#All],2,0)</f>
        <v>Автобус</v>
      </c>
      <c r="E8" t="str">
        <f ca="1">VLOOKUP(RANDBETWEEN(0,7),manuf[#All],2,0)</f>
        <v>FOTON</v>
      </c>
      <c r="F8">
        <f t="shared" ca="1" si="0"/>
        <v>2000</v>
      </c>
      <c r="G8" t="str">
        <f ca="1">VLOOKUP(RANDBETWEEN(0,6),Таблица10[#All],2,0)</f>
        <v>Красный</v>
      </c>
      <c r="H8" t="str">
        <f ca="1">IF(Таблица27[[#This Row],[Тип транспорта]]=lib!$C$3,lib!$C$29,VLOOKUP(RANDBETWEEN(0,1),Таблица11[#All],2,0))</f>
        <v>Дизтопливо</v>
      </c>
      <c r="I8" t="str">
        <f ca="1">VLOOKUP(RANDBETWEEN(0,4),Таблица12[#All],2,0)</f>
        <v>215/75R17,5</v>
      </c>
      <c r="J8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MYH9ONQT2IDJK40DLPPAIRK0</v>
      </c>
      <c r="K8" t="str">
        <f ca="1">Таблица27[[#This Row],[VIN-код(кузов)]]</f>
        <v>MYH9ONQT2IDJK40DLPPAIRK0</v>
      </c>
      <c r="L8">
        <f t="shared" ca="1" si="1"/>
        <v>218000</v>
      </c>
    </row>
    <row r="9" spans="2:12" x14ac:dyDescent="0.25">
      <c r="B9" s="6" t="str">
        <f ca="1">VLOOKUP(RANDBETWEEN(1,33),lib!$T$2:$U$28,2)&amp;VLOOKUP(RANDBETWEEN(1,33),lib!$T$2:$U$28,2)&amp;VLOOKUP(RANDBETWEEN(1,33),lib!$T$2:$U$28,2)&amp;" "&amp;RANDBETWEEN(0,9)&amp;RANDBETWEEN(0,9)&amp;RANDBETWEEN(0,9)</f>
        <v>HSX 089</v>
      </c>
      <c r="C9" s="6" t="str">
        <f ca="1">IF(Таблица27[[#This Row],[Тип транспорта]]=lib!$C$5,lib!$C$41,VLOOKUP(RANDBETWEEN(0,1),Таблица13[#All],2,0))</f>
        <v>Лизинг</v>
      </c>
      <c r="D9" s="6" t="str">
        <f ca="1">VLOOKUP(RANDBETWEEN(0,2),Таблица8[#All],2,0)</f>
        <v>Маршрутное такси</v>
      </c>
      <c r="E9" t="str">
        <f ca="1">VLOOKUP(RANDBETWEEN(0,7),manuf[#All],2,0)</f>
        <v>AYATS</v>
      </c>
      <c r="F9">
        <f t="shared" ca="1" si="0"/>
        <v>2013</v>
      </c>
      <c r="G9" t="str">
        <f ca="1">VLOOKUP(RANDBETWEEN(0,6),Таблица10[#All],2,0)</f>
        <v>Зеленый</v>
      </c>
      <c r="H9" t="str">
        <f ca="1">IF(Таблица27[[#This Row],[Тип транспорта]]=lib!$C$3,lib!$C$29,VLOOKUP(RANDBETWEEN(0,1),Таблица11[#All],2,0))</f>
        <v>Дизтопливо</v>
      </c>
      <c r="I9" t="str">
        <f ca="1">VLOOKUP(RANDBETWEEN(0,4),Таблица12[#All],2,0)</f>
        <v>205/75R17,5</v>
      </c>
      <c r="J9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9KRD50SIEVRBEXSNZVPIQXNH</v>
      </c>
      <c r="K9" t="str">
        <f ca="1">Таблица27[[#This Row],[VIN-код(кузов)]]</f>
        <v>9KRD50SIEVRBEXSNZVPIQXNH</v>
      </c>
      <c r="L9">
        <f t="shared" ca="1" si="1"/>
        <v>242000</v>
      </c>
    </row>
    <row r="10" spans="2:12" x14ac:dyDescent="0.25">
      <c r="B10" s="6" t="str">
        <f ca="1">VLOOKUP(RANDBETWEEN(1,33),lib!$T$2:$U$28,2)&amp;VLOOKUP(RANDBETWEEN(1,33),lib!$T$2:$U$28,2)&amp;VLOOKUP(RANDBETWEEN(1,33),lib!$T$2:$U$28,2)&amp;" "&amp;RANDBETWEEN(0,9)&amp;RANDBETWEEN(0,9)&amp;RANDBETWEEN(0,9)</f>
        <v>VZZ 436</v>
      </c>
      <c r="C10" s="6" t="str">
        <f ca="1">IF(Таблица27[[#This Row],[Тип транспорта]]=lib!$C$5,lib!$C$41,VLOOKUP(RANDBETWEEN(0,1),Таблица13[#All],2,0))</f>
        <v>Проприетарная</v>
      </c>
      <c r="D10" s="6" t="str">
        <f ca="1">VLOOKUP(RANDBETWEEN(0,2),Таблица8[#All],2,0)</f>
        <v>Троллейбус</v>
      </c>
      <c r="E10" t="str">
        <f ca="1">VLOOKUP(RANDBETWEEN(0,7),manuf[#All],2,0)</f>
        <v>AYATS</v>
      </c>
      <c r="F10">
        <f t="shared" ca="1" si="0"/>
        <v>2010</v>
      </c>
      <c r="G10" t="str">
        <f ca="1">VLOOKUP(RANDBETWEEN(0,6),Таблица10[#All],2,0)</f>
        <v>Желтый</v>
      </c>
      <c r="H10" t="str">
        <f ca="1">IF(Таблица27[[#This Row],[Тип транспорта]]=lib!$C$3,lib!$C$29,VLOOKUP(RANDBETWEEN(0,1),Таблица11[#All],2,0))</f>
        <v>Электричество</v>
      </c>
      <c r="I10" t="str">
        <f ca="1">VLOOKUP(RANDBETWEEN(0,4),Таблица12[#All],2,0)</f>
        <v>215/75R17,5</v>
      </c>
      <c r="J10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W952GTRI4N5K3GCU8JSRVZOM</v>
      </c>
      <c r="K10" t="str">
        <f ca="1">Таблица27[[#This Row],[VIN-код(кузов)]]</f>
        <v>W952GTRI4N5K3GCU8JSRVZOM</v>
      </c>
      <c r="L10">
        <f t="shared" ca="1" si="1"/>
        <v>303000</v>
      </c>
    </row>
    <row r="11" spans="2:12" x14ac:dyDescent="0.25">
      <c r="B11" s="6" t="str">
        <f ca="1">VLOOKUP(RANDBETWEEN(1,33),lib!$T$2:$U$28,2)&amp;VLOOKUP(RANDBETWEEN(1,33),lib!$T$2:$U$28,2)&amp;VLOOKUP(RANDBETWEEN(1,33),lib!$T$2:$U$28,2)&amp;" "&amp;RANDBETWEEN(0,9)&amp;RANDBETWEEN(0,9)&amp;RANDBETWEEN(0,9)</f>
        <v>HZI 356</v>
      </c>
      <c r="C11" s="6" t="str">
        <f ca="1">IF(Таблица27[[#This Row],[Тип транспорта]]=lib!$C$5,lib!$C$41,VLOOKUP(RANDBETWEEN(0,1),Таблица13[#All],2,0))</f>
        <v>Лизинг</v>
      </c>
      <c r="D11" s="6" t="str">
        <f ca="1">VLOOKUP(RANDBETWEEN(0,2),Таблица8[#All],2,0)</f>
        <v>Маршрутное такси</v>
      </c>
      <c r="E11" t="str">
        <f ca="1">VLOOKUP(RANDBETWEEN(0,7),manuf[#All],2,0)</f>
        <v>BAW</v>
      </c>
      <c r="F11">
        <f t="shared" ca="1" si="0"/>
        <v>2006</v>
      </c>
      <c r="G11" t="str">
        <f ca="1">VLOOKUP(RANDBETWEEN(0,6),Таблица10[#All],2,0)</f>
        <v>Зеленый</v>
      </c>
      <c r="H11" t="str">
        <f ca="1">IF(Таблица27[[#This Row],[Тип транспорта]]=lib!$C$3,lib!$C$29,VLOOKUP(RANDBETWEEN(0,1),Таблица11[#All],2,0))</f>
        <v>Газ</v>
      </c>
      <c r="I11" t="str">
        <f ca="1">VLOOKUP(RANDBETWEEN(0,4),Таблица12[#All],2,0)</f>
        <v>235/75R17,5</v>
      </c>
      <c r="J11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BVAXJENVO7JT6P1MIR3NUBHM</v>
      </c>
      <c r="K11" t="str">
        <f ca="1">Таблица27[[#This Row],[VIN-код(кузов)]]</f>
        <v>BVAXJENVO7JT6P1MIR3NUBHM</v>
      </c>
      <c r="L11">
        <f t="shared" ca="1" si="1"/>
        <v>208000</v>
      </c>
    </row>
    <row r="12" spans="2:12" x14ac:dyDescent="0.25">
      <c r="B12" s="6" t="str">
        <f ca="1">VLOOKUP(RANDBETWEEN(1,33),lib!$T$2:$U$28,2)&amp;VLOOKUP(RANDBETWEEN(1,33),lib!$T$2:$U$28,2)&amp;VLOOKUP(RANDBETWEEN(1,33),lib!$T$2:$U$28,2)&amp;" "&amp;RANDBETWEEN(0,9)&amp;RANDBETWEEN(0,9)&amp;RANDBETWEEN(0,9)</f>
        <v>OZC 220</v>
      </c>
      <c r="C12" s="6" t="str">
        <f ca="1">IF(Таблица27[[#This Row],[Тип транспорта]]=lib!$C$5,lib!$C$41,VLOOKUP(RANDBETWEEN(0,1),Таблица13[#All],2,0))</f>
        <v>Проприетарная</v>
      </c>
      <c r="D12" s="6" t="str">
        <f ca="1">VLOOKUP(RANDBETWEEN(0,2),Таблица8[#All],2,0)</f>
        <v>Автобус</v>
      </c>
      <c r="E12" t="str">
        <f ca="1">VLOOKUP(RANDBETWEEN(0,7),manuf[#All],2,0)</f>
        <v>DAEWOO</v>
      </c>
      <c r="F12">
        <f t="shared" ca="1" si="0"/>
        <v>2000</v>
      </c>
      <c r="G12" t="str">
        <f ca="1">VLOOKUP(RANDBETWEEN(0,6),Таблица10[#All],2,0)</f>
        <v>Фиолетовый</v>
      </c>
      <c r="H12" t="str">
        <f ca="1">IF(Таблица27[[#This Row],[Тип транспорта]]=lib!$C$3,lib!$C$29,VLOOKUP(RANDBETWEEN(0,1),Таблица11[#All],2,0))</f>
        <v>Газ</v>
      </c>
      <c r="I12" t="str">
        <f ca="1">VLOOKUP(RANDBETWEEN(0,4),Таблица12[#All],2,0)</f>
        <v>215/75R17,5</v>
      </c>
      <c r="J12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ATCDNULJEOMU68G10TEGPHTE</v>
      </c>
      <c r="K12" t="str">
        <f ca="1">Таблица27[[#This Row],[VIN-код(кузов)]]</f>
        <v>ATCDNULJEOMU68G10TEGPHTE</v>
      </c>
      <c r="L12">
        <f t="shared" ca="1" si="1"/>
        <v>147000</v>
      </c>
    </row>
    <row r="13" spans="2:12" x14ac:dyDescent="0.25">
      <c r="B13" s="6" t="str">
        <f ca="1">VLOOKUP(RANDBETWEEN(1,33),lib!$T$2:$U$28,2)&amp;VLOOKUP(RANDBETWEEN(1,33),lib!$T$2:$U$28,2)&amp;VLOOKUP(RANDBETWEEN(1,33),lib!$T$2:$U$28,2)&amp;" "&amp;RANDBETWEEN(0,9)&amp;RANDBETWEEN(0,9)&amp;RANDBETWEEN(0,9)</f>
        <v>CPP 149</v>
      </c>
      <c r="C13" s="6" t="str">
        <f ca="1">IF(Таблица27[[#This Row],[Тип транспорта]]=lib!$C$5,lib!$C$41,VLOOKUP(RANDBETWEEN(0,1),Таблица13[#All],2,0))</f>
        <v>Проприетарная</v>
      </c>
      <c r="D13" s="6" t="str">
        <f ca="1">VLOOKUP(RANDBETWEEN(0,2),Таблица8[#All],2,0)</f>
        <v>Автобус</v>
      </c>
      <c r="E13" t="str">
        <f ca="1">VLOOKUP(RANDBETWEEN(0,7),manuf[#All],2,0)</f>
        <v>BAW</v>
      </c>
      <c r="F13">
        <f t="shared" ca="1" si="0"/>
        <v>2003</v>
      </c>
      <c r="G13" t="str">
        <f ca="1">VLOOKUP(RANDBETWEEN(0,6),Таблица10[#All],2,0)</f>
        <v>Красный</v>
      </c>
      <c r="H13" t="str">
        <f ca="1">IF(Таблица27[[#This Row],[Тип транспорта]]=lib!$C$3,lib!$C$29,VLOOKUP(RANDBETWEEN(0,1),Таблица11[#All],2,0))</f>
        <v>Дизтопливо</v>
      </c>
      <c r="I13" t="str">
        <f ca="1">VLOOKUP(RANDBETWEEN(0,4),Таблица12[#All],2,0)</f>
        <v>215/75R17,5</v>
      </c>
      <c r="J13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2VYEFMDHVXSOU2LLNAYI5PTM</v>
      </c>
      <c r="K13" t="str">
        <f ca="1">Таблица27[[#This Row],[VIN-код(кузов)]]</f>
        <v>2VYEFMDHVXSOU2LLNAYI5PTM</v>
      </c>
      <c r="L13">
        <f t="shared" ca="1" si="1"/>
        <v>313000</v>
      </c>
    </row>
    <row r="14" spans="2:12" x14ac:dyDescent="0.25">
      <c r="B14" s="6" t="str">
        <f ca="1">VLOOKUP(RANDBETWEEN(1,33),lib!$T$2:$U$28,2)&amp;VLOOKUP(RANDBETWEEN(1,33),lib!$T$2:$U$28,2)&amp;VLOOKUP(RANDBETWEEN(1,33),lib!$T$2:$U$28,2)&amp;" "&amp;RANDBETWEEN(0,9)&amp;RANDBETWEEN(0,9)&amp;RANDBETWEEN(0,9)</f>
        <v>ZZX 597</v>
      </c>
      <c r="C14" s="6" t="str">
        <f ca="1">IF(Таблица27[[#This Row],[Тип транспорта]]=lib!$C$5,lib!$C$41,VLOOKUP(RANDBETWEEN(0,1),Таблица13[#All],2,0))</f>
        <v>Лизинг</v>
      </c>
      <c r="D14" s="6" t="str">
        <f ca="1">VLOOKUP(RANDBETWEEN(0,2),Таблица8[#All],2,0)</f>
        <v>Маршрутное такси</v>
      </c>
      <c r="E14" t="str">
        <f ca="1">VLOOKUP(RANDBETWEEN(0,7),manuf[#All],2,0)</f>
        <v>GOLDEN DRAGON</v>
      </c>
      <c r="F14">
        <f t="shared" ca="1" si="0"/>
        <v>2000</v>
      </c>
      <c r="G14" t="str">
        <f ca="1">VLOOKUP(RANDBETWEEN(0,6),Таблица10[#All],2,0)</f>
        <v>Голубой</v>
      </c>
      <c r="H14" t="str">
        <f ca="1">IF(Таблица27[[#This Row],[Тип транспорта]]=lib!$C$3,lib!$C$29,VLOOKUP(RANDBETWEEN(0,1),Таблица11[#All],2,0))</f>
        <v>Газ</v>
      </c>
      <c r="I14" t="str">
        <f ca="1">VLOOKUP(RANDBETWEEN(0,4),Таблица12[#All],2,0)</f>
        <v>215/75R17,5</v>
      </c>
      <c r="J14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75HK84EM81RNL146CWA7QW4Y</v>
      </c>
      <c r="K14" t="str">
        <f ca="1">Таблица27[[#This Row],[VIN-код(кузов)]]</f>
        <v>75HK84EM81RNL146CWA7QW4Y</v>
      </c>
      <c r="L14">
        <f t="shared" ca="1" si="1"/>
        <v>185000</v>
      </c>
    </row>
    <row r="15" spans="2:12" x14ac:dyDescent="0.25">
      <c r="B15" s="6" t="str">
        <f ca="1">VLOOKUP(RANDBETWEEN(1,33),lib!$T$2:$U$28,2)&amp;VLOOKUP(RANDBETWEEN(1,33),lib!$T$2:$U$28,2)&amp;VLOOKUP(RANDBETWEEN(1,33),lib!$T$2:$U$28,2)&amp;" "&amp;RANDBETWEEN(0,9)&amp;RANDBETWEEN(0,9)&amp;RANDBETWEEN(0,9)</f>
        <v>VPH 987</v>
      </c>
      <c r="C15" s="6" t="str">
        <f ca="1">IF(Таблица27[[#This Row],[Тип транспорта]]=lib!$C$5,lib!$C$41,VLOOKUP(RANDBETWEEN(0,1),Таблица13[#All],2,0))</f>
        <v>Лизинг</v>
      </c>
      <c r="D15" s="6" t="str">
        <f ca="1">VLOOKUP(RANDBETWEEN(0,2),Таблица8[#All],2,0)</f>
        <v>Маршрутное такси</v>
      </c>
      <c r="E15" t="str">
        <f ca="1">VLOOKUP(RANDBETWEEN(0,7),manuf[#All],2,0)</f>
        <v>AYATS</v>
      </c>
      <c r="F15">
        <f t="shared" ca="1" si="0"/>
        <v>2008</v>
      </c>
      <c r="G15" t="str">
        <f ca="1">VLOOKUP(RANDBETWEEN(0,6),Таблица10[#All],2,0)</f>
        <v>Фиолетовый</v>
      </c>
      <c r="H15" t="str">
        <f ca="1">IF(Таблица27[[#This Row],[Тип транспорта]]=lib!$C$3,lib!$C$29,VLOOKUP(RANDBETWEEN(0,1),Таблица11[#All],2,0))</f>
        <v>Газ</v>
      </c>
      <c r="I15" t="str">
        <f ca="1">VLOOKUP(RANDBETWEEN(0,4),Таблица12[#All],2,0)</f>
        <v>205/75R17,5</v>
      </c>
      <c r="J15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W0XEDU9NBBBDQ2G9WOWFJFD4</v>
      </c>
      <c r="K15" t="str">
        <f ca="1">Таблица27[[#This Row],[VIN-код(кузов)]]</f>
        <v>W0XEDU9NBBBDQ2G9WOWFJFD4</v>
      </c>
      <c r="L15">
        <f t="shared" ca="1" si="1"/>
        <v>232000</v>
      </c>
    </row>
    <row r="16" spans="2:12" x14ac:dyDescent="0.25">
      <c r="B16" s="6" t="str">
        <f ca="1">VLOOKUP(RANDBETWEEN(1,33),lib!$T$2:$U$28,2)&amp;VLOOKUP(RANDBETWEEN(1,33),lib!$T$2:$U$28,2)&amp;VLOOKUP(RANDBETWEEN(1,33),lib!$T$2:$U$28,2)&amp;" "&amp;RANDBETWEEN(0,9)&amp;RANDBETWEEN(0,9)&amp;RANDBETWEEN(0,9)</f>
        <v>XZZ 045</v>
      </c>
      <c r="C16" s="6" t="str">
        <f ca="1">IF(Таблица27[[#This Row],[Тип транспорта]]=lib!$C$5,lib!$C$41,VLOOKUP(RANDBETWEEN(0,1),Таблица13[#All],2,0))</f>
        <v>Проприетарная</v>
      </c>
      <c r="D16" s="6" t="str">
        <f ca="1">VLOOKUP(RANDBETWEEN(0,2),Таблица8[#All],2,0)</f>
        <v>Троллейбус</v>
      </c>
      <c r="E16" t="str">
        <f ca="1">VLOOKUP(RANDBETWEEN(0,7),manuf[#All],2,0)</f>
        <v>ANKAI</v>
      </c>
      <c r="F16">
        <f t="shared" ca="1" si="0"/>
        <v>2010</v>
      </c>
      <c r="G16" t="str">
        <f ca="1">VLOOKUP(RANDBETWEEN(0,6),Таблица10[#All],2,0)</f>
        <v>Зеленый</v>
      </c>
      <c r="H16" t="str">
        <f ca="1">IF(Таблица27[[#This Row],[Тип транспорта]]=lib!$C$3,lib!$C$29,VLOOKUP(RANDBETWEEN(0,1),Таблица11[#All],2,0))</f>
        <v>Электричество</v>
      </c>
      <c r="I16" t="str">
        <f ca="1">VLOOKUP(RANDBETWEEN(0,4),Таблица12[#All],2,0)</f>
        <v>275/70R22.5</v>
      </c>
      <c r="J16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9XZE9SUQSQTC2IJ2TALC2C5U</v>
      </c>
      <c r="K16" t="str">
        <f ca="1">Таблица27[[#This Row],[VIN-код(кузов)]]</f>
        <v>9XZE9SUQSQTC2IJ2TALC2C5U</v>
      </c>
      <c r="L16">
        <f t="shared" ca="1" si="1"/>
        <v>334000</v>
      </c>
    </row>
    <row r="17" spans="2:12" x14ac:dyDescent="0.25">
      <c r="B17" s="6" t="str">
        <f ca="1">VLOOKUP(RANDBETWEEN(1,33),lib!$T$2:$U$28,2)&amp;VLOOKUP(RANDBETWEEN(1,33),lib!$T$2:$U$28,2)&amp;VLOOKUP(RANDBETWEEN(1,33),lib!$T$2:$U$28,2)&amp;" "&amp;RANDBETWEEN(0,9)&amp;RANDBETWEEN(0,9)&amp;RANDBETWEEN(0,9)</f>
        <v>FDX 760</v>
      </c>
      <c r="C17" s="6" t="str">
        <f ca="1">IF(Таблица27[[#This Row],[Тип транспорта]]=lib!$C$5,lib!$C$41,VLOOKUP(RANDBETWEEN(0,1),Таблица13[#All],2,0))</f>
        <v>Проприетарная</v>
      </c>
      <c r="D17" s="6" t="str">
        <f ca="1">VLOOKUP(RANDBETWEEN(0,2),Таблица8[#All],2,0)</f>
        <v>Троллейбус</v>
      </c>
      <c r="E17" t="str">
        <f ca="1">VLOOKUP(RANDBETWEEN(0,7),manuf[#All],2,0)</f>
        <v>ANKAI</v>
      </c>
      <c r="F17">
        <f t="shared" ca="1" si="0"/>
        <v>2014</v>
      </c>
      <c r="G17" t="str">
        <f ca="1">VLOOKUP(RANDBETWEEN(0,6),Таблица10[#All],2,0)</f>
        <v>Оранжевый</v>
      </c>
      <c r="H17" t="str">
        <f ca="1">IF(Таблица27[[#This Row],[Тип транспорта]]=lib!$C$3,lib!$C$29,VLOOKUP(RANDBETWEEN(0,1),Таблица11[#All],2,0))</f>
        <v>Электричество</v>
      </c>
      <c r="I17" t="str">
        <f ca="1">VLOOKUP(RANDBETWEEN(0,4),Таблица12[#All],2,0)</f>
        <v>295/80R22,5</v>
      </c>
      <c r="J17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DY6CVC9RN3XPVFYTUEQJSGUA</v>
      </c>
      <c r="K17" t="str">
        <f ca="1">Таблица27[[#This Row],[VIN-код(кузов)]]</f>
        <v>DY6CVC9RN3XPVFYTUEQJSGUA</v>
      </c>
      <c r="L17">
        <f t="shared" ca="1" si="1"/>
        <v>113000</v>
      </c>
    </row>
    <row r="18" spans="2:12" x14ac:dyDescent="0.25">
      <c r="B18" s="6" t="str">
        <f ca="1">VLOOKUP(RANDBETWEEN(1,33),lib!$T$2:$U$28,2)&amp;VLOOKUP(RANDBETWEEN(1,33),lib!$T$2:$U$28,2)&amp;VLOOKUP(RANDBETWEEN(1,33),lib!$T$2:$U$28,2)&amp;" "&amp;RANDBETWEEN(0,9)&amp;RANDBETWEEN(0,9)&amp;RANDBETWEEN(0,9)</f>
        <v>ZJZ 609</v>
      </c>
      <c r="C18" s="6" t="str">
        <f ca="1">IF(Таблица27[[#This Row],[Тип транспорта]]=lib!$C$5,lib!$C$41,VLOOKUP(RANDBETWEEN(0,1),Таблица13[#All],2,0))</f>
        <v>Проприетарная</v>
      </c>
      <c r="D18" s="6" t="str">
        <f ca="1">VLOOKUP(RANDBETWEEN(0,2),Таблица8[#All],2,0)</f>
        <v>Автобус</v>
      </c>
      <c r="E18" t="str">
        <f ca="1">VLOOKUP(RANDBETWEEN(0,7),manuf[#All],2,0)</f>
        <v>HYUNDAI</v>
      </c>
      <c r="F18">
        <f t="shared" ca="1" si="0"/>
        <v>2020</v>
      </c>
      <c r="G18" t="str">
        <f ca="1">VLOOKUP(RANDBETWEEN(0,6),Таблица10[#All],2,0)</f>
        <v>Оранжевый</v>
      </c>
      <c r="H18" t="str">
        <f ca="1">IF(Таблица27[[#This Row],[Тип транспорта]]=lib!$C$3,lib!$C$29,VLOOKUP(RANDBETWEEN(0,1),Таблица11[#All],2,0))</f>
        <v>Дизтопливо</v>
      </c>
      <c r="I18" t="str">
        <f ca="1">VLOOKUP(RANDBETWEEN(0,4),Таблица12[#All],2,0)</f>
        <v>275/70R22.5</v>
      </c>
      <c r="J18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FR8IJRFPWCG5R5MFNEI5IF9T</v>
      </c>
      <c r="K18" t="str">
        <f ca="1">Таблица27[[#This Row],[VIN-код(кузов)]]</f>
        <v>FR8IJRFPWCG5R5MFNEI5IF9T</v>
      </c>
      <c r="L18">
        <f t="shared" ca="1" si="1"/>
        <v>129000</v>
      </c>
    </row>
    <row r="19" spans="2:12" x14ac:dyDescent="0.25">
      <c r="B19" s="6" t="str">
        <f ca="1">VLOOKUP(RANDBETWEEN(1,33),lib!$T$2:$U$28,2)&amp;VLOOKUP(RANDBETWEEN(1,33),lib!$T$2:$U$28,2)&amp;VLOOKUP(RANDBETWEEN(1,33),lib!$T$2:$U$28,2)&amp;" "&amp;RANDBETWEEN(0,9)&amp;RANDBETWEEN(0,9)&amp;RANDBETWEEN(0,9)</f>
        <v>NZM 852</v>
      </c>
      <c r="C19" s="6" t="str">
        <f ca="1">IF(Таблица27[[#This Row],[Тип транспорта]]=lib!$C$5,lib!$C$41,VLOOKUP(RANDBETWEEN(0,1),Таблица13[#All],2,0))</f>
        <v>Лизинг</v>
      </c>
      <c r="D19" s="6" t="str">
        <f ca="1">VLOOKUP(RANDBETWEEN(0,2),Таблица8[#All],2,0)</f>
        <v>Маршрутное такси</v>
      </c>
      <c r="E19" t="str">
        <f ca="1">VLOOKUP(RANDBETWEEN(0,7),manuf[#All],2,0)</f>
        <v>HYUNDAI</v>
      </c>
      <c r="F19">
        <f t="shared" ca="1" si="0"/>
        <v>2020</v>
      </c>
      <c r="G19" t="str">
        <f ca="1">VLOOKUP(RANDBETWEEN(0,6),Таблица10[#All],2,0)</f>
        <v>Желтый</v>
      </c>
      <c r="H19" t="str">
        <f ca="1">IF(Таблица27[[#This Row],[Тип транспорта]]=lib!$C$3,lib!$C$29,VLOOKUP(RANDBETWEEN(0,1),Таблица11[#All],2,0))</f>
        <v>Газ</v>
      </c>
      <c r="I19" t="str">
        <f ca="1">VLOOKUP(RANDBETWEEN(0,4),Таблица12[#All],2,0)</f>
        <v>205/75R17,5</v>
      </c>
      <c r="J19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1EGIFN5A15B0WRLVGSE5MSXG</v>
      </c>
      <c r="K19" t="str">
        <f ca="1">Таблица27[[#This Row],[VIN-код(кузов)]]</f>
        <v>1EGIFN5A15B0WRLVGSE5MSXG</v>
      </c>
      <c r="L19">
        <f t="shared" ca="1" si="1"/>
        <v>233000</v>
      </c>
    </row>
    <row r="20" spans="2:12" x14ac:dyDescent="0.25">
      <c r="B20" s="6" t="str">
        <f ca="1">VLOOKUP(RANDBETWEEN(1,33),lib!$T$2:$U$28,2)&amp;VLOOKUP(RANDBETWEEN(1,33),lib!$T$2:$U$28,2)&amp;VLOOKUP(RANDBETWEEN(1,33),lib!$T$2:$U$28,2)&amp;" "&amp;RANDBETWEEN(0,9)&amp;RANDBETWEEN(0,9)&amp;RANDBETWEEN(0,9)</f>
        <v>FCY 140</v>
      </c>
      <c r="C20" s="6" t="str">
        <f ca="1">IF(Таблица27[[#This Row],[Тип транспорта]]=lib!$C$5,lib!$C$41,VLOOKUP(RANDBETWEEN(0,1),Таблица13[#All],2,0))</f>
        <v>Проприетарная</v>
      </c>
      <c r="D20" s="6" t="str">
        <f ca="1">VLOOKUP(RANDBETWEEN(0,2),Таблица8[#All],2,0)</f>
        <v>Троллейбус</v>
      </c>
      <c r="E20" t="str">
        <f ca="1">VLOOKUP(RANDBETWEEN(0,7),manuf[#All],2,0)</f>
        <v>BAW</v>
      </c>
      <c r="F20">
        <f t="shared" ca="1" si="0"/>
        <v>2005</v>
      </c>
      <c r="G20" t="str">
        <f ca="1">VLOOKUP(RANDBETWEEN(0,6),Таблица10[#All],2,0)</f>
        <v>Голубой</v>
      </c>
      <c r="H20" t="str">
        <f ca="1">IF(Таблица27[[#This Row],[Тип транспорта]]=lib!$C$3,lib!$C$29,VLOOKUP(RANDBETWEEN(0,1),Таблица11[#All],2,0))</f>
        <v>Электричество</v>
      </c>
      <c r="I20" t="str">
        <f ca="1">VLOOKUP(RANDBETWEEN(0,4),Таблица12[#All],2,0)</f>
        <v>295/80R22,5</v>
      </c>
      <c r="J20" t="str">
        <f ca="1">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VLOOKUP(RANDBETWEEN(0,35),Таблица26[#All],2,0)&amp;VLOOKUP(RANDBETWEEN(0,35),Таблица26[#All],2,0)&amp;
VLOOKUP(RANDBETWEEN(0,35),Таблица26[#All],2,0)</f>
        <v>0W73N50JLBTNQNMX5U1T3469</v>
      </c>
      <c r="K20" t="str">
        <f ca="1">Таблица27[[#This Row],[VIN-код(кузов)]]</f>
        <v>0W73N50JLBTNQNMX5U1T3469</v>
      </c>
      <c r="L20">
        <f t="shared" ca="1" si="1"/>
        <v>305000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SideNote</vt:lpstr>
      <vt:lpstr>lib</vt:lpstr>
      <vt:lpstr>base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А. М.</dc:creator>
  <cp:lastModifiedBy>Contab3-14</cp:lastModifiedBy>
  <dcterms:created xsi:type="dcterms:W3CDTF">2022-11-17T19:33:23Z</dcterms:created>
  <dcterms:modified xsi:type="dcterms:W3CDTF">2022-11-18T14:44:49Z</dcterms:modified>
</cp:coreProperties>
</file>